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-120" yWindow="-120" windowWidth="29040" windowHeight="15720"/>
  </bookViews>
  <sheets>
    <sheet name="2025-2026 New" sheetId="24" r:id="rId1"/>
    <sheet name="Sheet3" sheetId="19" r:id="rId2"/>
  </sheets>
  <externalReferences>
    <externalReference r:id="rId3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8" i="24" l="1"/>
  <c r="B85" i="24" l="1"/>
  <c r="C85" i="24"/>
  <c r="D85" i="24"/>
  <c r="E85" i="24"/>
  <c r="F85" i="24"/>
  <c r="G85" i="24"/>
  <c r="H85" i="24"/>
  <c r="J85" i="24"/>
  <c r="K85" i="24"/>
  <c r="L85" i="24"/>
  <c r="M85" i="24"/>
  <c r="N85" i="24"/>
  <c r="O85" i="24"/>
  <c r="D109" i="24" l="1"/>
  <c r="C104" i="24"/>
  <c r="C105" i="24"/>
  <c r="C106" i="24"/>
  <c r="C107" i="24"/>
  <c r="C103" i="24"/>
  <c r="E109" i="24"/>
  <c r="D3" i="24"/>
  <c r="D2" i="24"/>
  <c r="C109" i="24" l="1"/>
  <c r="E2" i="24"/>
  <c r="XFD86" i="24"/>
  <c r="Q37" i="24"/>
  <c r="C13" i="19" l="1"/>
</calcChain>
</file>

<file path=xl/sharedStrings.xml><?xml version="1.0" encoding="utf-8"?>
<sst xmlns="http://schemas.openxmlformats.org/spreadsheetml/2006/main" count="1129" uniqueCount="832">
  <si>
    <t>Muhammad Khairul Anwar</t>
  </si>
  <si>
    <t>No</t>
  </si>
  <si>
    <t>Nama</t>
  </si>
  <si>
    <t>KELAS</t>
  </si>
  <si>
    <t>NISM</t>
  </si>
  <si>
    <t>Nailatus Sa'adah</t>
  </si>
  <si>
    <t>NISN</t>
  </si>
  <si>
    <t>TEMPAT LAHIR</t>
  </si>
  <si>
    <t>Sumenep</t>
  </si>
  <si>
    <t>Tgl/Bln/Thn</t>
  </si>
  <si>
    <t>JK</t>
  </si>
  <si>
    <t>L</t>
  </si>
  <si>
    <t>P</t>
  </si>
  <si>
    <t>NIK</t>
  </si>
  <si>
    <t>IDENTITAS SISWA</t>
  </si>
  <si>
    <t>3529111205870002</t>
  </si>
  <si>
    <t>3529115507890005</t>
  </si>
  <si>
    <t>3529112308110009</t>
  </si>
  <si>
    <t>Abd. Kadir</t>
  </si>
  <si>
    <t>3529112809830001</t>
  </si>
  <si>
    <t>In'amah</t>
  </si>
  <si>
    <t>3529115103830002</t>
  </si>
  <si>
    <t>No. KK</t>
  </si>
  <si>
    <t>IDENTITAS ORANG TUA</t>
  </si>
  <si>
    <t>NIK  AYAH</t>
  </si>
  <si>
    <t>NIK IBU</t>
  </si>
  <si>
    <t>NAMA AYAH</t>
  </si>
  <si>
    <t>NAMA IBU</t>
  </si>
  <si>
    <t>3529112712110002</t>
  </si>
  <si>
    <t>Abd. Kafi, S.Pd.I</t>
  </si>
  <si>
    <t>3529111103820005</t>
  </si>
  <si>
    <t>Farhatin</t>
  </si>
  <si>
    <t>3529114809870003</t>
  </si>
  <si>
    <t>Sholehoddin</t>
  </si>
  <si>
    <t>3529110102860007</t>
  </si>
  <si>
    <t>Surayati</t>
  </si>
  <si>
    <t>3529114103940002</t>
  </si>
  <si>
    <t>Fitriyah</t>
  </si>
  <si>
    <t>3529112909110015</t>
  </si>
  <si>
    <t>Supandi</t>
  </si>
  <si>
    <t>3529112106820007</t>
  </si>
  <si>
    <t>Qurriyah</t>
  </si>
  <si>
    <t>3529116901840003</t>
  </si>
  <si>
    <t>Pamekasan</t>
  </si>
  <si>
    <t>Ajmal Nawali Aprilio</t>
  </si>
  <si>
    <t>Andriyan</t>
  </si>
  <si>
    <t>Moh Alvin Mubarok</t>
  </si>
  <si>
    <t>Moh. Akhdan Mahbubi</t>
  </si>
  <si>
    <t>Moh. Hady Rabby</t>
  </si>
  <si>
    <t>Muhammad Asrofil Fawaid</t>
  </si>
  <si>
    <t>Mutasyabihah Rizkiyah</t>
  </si>
  <si>
    <t>Saiful Hadi</t>
  </si>
  <si>
    <t>Salman Alfarisi</t>
  </si>
  <si>
    <t>Selfi Selfia</t>
  </si>
  <si>
    <t>Suhriyatin</t>
  </si>
  <si>
    <t>Zulfa Anisa</t>
  </si>
  <si>
    <t>111235290040200321</t>
  </si>
  <si>
    <t>111235290040200322</t>
  </si>
  <si>
    <t>111235290040200324</t>
  </si>
  <si>
    <t>111235290040200325</t>
  </si>
  <si>
    <t>111235290040200326</t>
  </si>
  <si>
    <t>111235290040200327</t>
  </si>
  <si>
    <t>111235290040200328</t>
  </si>
  <si>
    <t>111235290040200329</t>
  </si>
  <si>
    <t>111235290040200330</t>
  </si>
  <si>
    <t>111235290040200331</t>
  </si>
  <si>
    <t>111235290040200332</t>
  </si>
  <si>
    <t>3529110803090027</t>
  </si>
  <si>
    <t>Musa</t>
  </si>
  <si>
    <t>3529112912630001</t>
  </si>
  <si>
    <t>Mutammah</t>
  </si>
  <si>
    <t>3529115208850006</t>
  </si>
  <si>
    <t>3529110104140002</t>
  </si>
  <si>
    <t>3529111310120001</t>
  </si>
  <si>
    <t>ALAMAT</t>
  </si>
  <si>
    <t>Dusun Topoar</t>
  </si>
  <si>
    <t>Dusun Rengperreng</t>
  </si>
  <si>
    <t>3529113001140002</t>
  </si>
  <si>
    <t>Dusun Bapelle</t>
  </si>
  <si>
    <t>3529110401110007</t>
  </si>
  <si>
    <t>Idris Afandi</t>
  </si>
  <si>
    <t>3529115804870003</t>
  </si>
  <si>
    <t>352911512840010</t>
  </si>
  <si>
    <t>Nahriyah</t>
  </si>
  <si>
    <t>3529112202140002</t>
  </si>
  <si>
    <t>33529112909110012</t>
  </si>
  <si>
    <t>Mustaqim</t>
  </si>
  <si>
    <t>3529110201710002</t>
  </si>
  <si>
    <t>Khairiyah</t>
  </si>
  <si>
    <t>3529114103750008</t>
  </si>
  <si>
    <t>3529110502140002</t>
  </si>
  <si>
    <t>3529110803090094</t>
  </si>
  <si>
    <t>Mohlis</t>
  </si>
  <si>
    <t>3529071105880001</t>
  </si>
  <si>
    <t>Jumiatun</t>
  </si>
  <si>
    <t>3529115709880005</t>
  </si>
  <si>
    <t>3529082112130001</t>
  </si>
  <si>
    <t>Dusun Sokarame</t>
  </si>
  <si>
    <t>3529081203190002</t>
  </si>
  <si>
    <t>Salamet Firdaus</t>
  </si>
  <si>
    <t>3529080601900002</t>
  </si>
  <si>
    <t>Mamdudah</t>
  </si>
  <si>
    <t>3529084109920001</t>
  </si>
  <si>
    <t>3529055602130001</t>
  </si>
  <si>
    <t>352905300480002</t>
  </si>
  <si>
    <t>3529051602110210</t>
  </si>
  <si>
    <t>Khairuddin</t>
  </si>
  <si>
    <t>Nasiyah</t>
  </si>
  <si>
    <t>3529055107860005</t>
  </si>
  <si>
    <t>3529110802140002</t>
  </si>
  <si>
    <t>3529112701140002</t>
  </si>
  <si>
    <t>Nasiruddin</t>
  </si>
  <si>
    <t>3512160103710001</t>
  </si>
  <si>
    <t>Ainiyah</t>
  </si>
  <si>
    <t>3529116202780003</t>
  </si>
  <si>
    <t>3529112908130001</t>
  </si>
  <si>
    <t>Dusun Berruh</t>
  </si>
  <si>
    <t>3529113004067885</t>
  </si>
  <si>
    <t>Mustar</t>
  </si>
  <si>
    <t>3529110107640104</t>
  </si>
  <si>
    <t>Duya</t>
  </si>
  <si>
    <t>3529114107740144</t>
  </si>
  <si>
    <t>3529116405140001</t>
  </si>
  <si>
    <t>3529116209140003</t>
  </si>
  <si>
    <t>3529111302190006</t>
  </si>
  <si>
    <t>Usmadi</t>
  </si>
  <si>
    <t>Karimah Al Muyassaroh</t>
  </si>
  <si>
    <t>3529114607990007</t>
  </si>
  <si>
    <t>3529116901140002</t>
  </si>
  <si>
    <t>Dusun Palalangan</t>
  </si>
  <si>
    <t>3529112610180001</t>
  </si>
  <si>
    <t>Ach. Laili</t>
  </si>
  <si>
    <t>3529111401920006</t>
  </si>
  <si>
    <t>Maratul  Jannah</t>
  </si>
  <si>
    <t>Dusun Moralas</t>
  </si>
  <si>
    <t>Siti Aisyah</t>
  </si>
  <si>
    <t>3529115409130001</t>
  </si>
  <si>
    <t>3529111705130002</t>
  </si>
  <si>
    <t>Mat Hasan</t>
  </si>
  <si>
    <t>3529112210860006</t>
  </si>
  <si>
    <t>Rumpiyatun</t>
  </si>
  <si>
    <t>3529115602990003</t>
  </si>
  <si>
    <t>111235290040200334</t>
  </si>
  <si>
    <t>Dusun Reng Perreng</t>
  </si>
  <si>
    <t>Dusun Aeng Bato</t>
  </si>
  <si>
    <t>111235290040200335</t>
  </si>
  <si>
    <t>3529111611170006</t>
  </si>
  <si>
    <t>Totok Hartanto</t>
  </si>
  <si>
    <t>3518190807920004</t>
  </si>
  <si>
    <t>Rohmatun</t>
  </si>
  <si>
    <t>3529115401950003</t>
  </si>
  <si>
    <t>Gabbrilla Haura Aufaria</t>
  </si>
  <si>
    <t>3529114403150001</t>
  </si>
  <si>
    <t>Dusun Madak</t>
  </si>
  <si>
    <t>3529112102090052</t>
  </si>
  <si>
    <t>Baidi</t>
  </si>
  <si>
    <t>3529112509800004</t>
  </si>
  <si>
    <t>Aminah</t>
  </si>
  <si>
    <t>3529115208870008</t>
  </si>
  <si>
    <t>Naura Ghalby Al Mawahidah</t>
  </si>
  <si>
    <t>3529114412140002</t>
  </si>
  <si>
    <t>3529111710180002</t>
  </si>
  <si>
    <t>Ahmad Qudsi</t>
  </si>
  <si>
    <t>3529112104910001</t>
  </si>
  <si>
    <t>Mukhayyaroh</t>
  </si>
  <si>
    <t>3529115208930007</t>
  </si>
  <si>
    <t>Aliya Nidaul Karimah</t>
  </si>
  <si>
    <t>3529116205150001</t>
  </si>
  <si>
    <t>3529110403090023</t>
  </si>
  <si>
    <t>Rusdi</t>
  </si>
  <si>
    <t>3529110211771154</t>
  </si>
  <si>
    <t>Juharah</t>
  </si>
  <si>
    <t>3529114706830019</t>
  </si>
  <si>
    <t>Camelia Ulfa</t>
  </si>
  <si>
    <t>3529116010140002</t>
  </si>
  <si>
    <t>3529110903090026</t>
  </si>
  <si>
    <t>Rasul</t>
  </si>
  <si>
    <t>3529110107701173</t>
  </si>
  <si>
    <t>Sumyati</t>
  </si>
  <si>
    <t>3529114107730277</t>
  </si>
  <si>
    <t>Hafidhatul Hasanah</t>
  </si>
  <si>
    <t>3529116708150004</t>
  </si>
  <si>
    <t>3529112508170001</t>
  </si>
  <si>
    <t>Ahlis</t>
  </si>
  <si>
    <t>3529110308910001</t>
  </si>
  <si>
    <t>3529095006950005</t>
  </si>
  <si>
    <t>Ahmad Tijani</t>
  </si>
  <si>
    <t>3529111705140001</t>
  </si>
  <si>
    <t>3529110503090014</t>
  </si>
  <si>
    <t>Sapraji</t>
  </si>
  <si>
    <t>3529110408740009</t>
  </si>
  <si>
    <t>Ma'i</t>
  </si>
  <si>
    <t>3529114802780001</t>
  </si>
  <si>
    <t>Ahmad Jalaluddin Rumi</t>
  </si>
  <si>
    <t>3529110906140001</t>
  </si>
  <si>
    <t>3529112101110024</t>
  </si>
  <si>
    <t>As'ari</t>
  </si>
  <si>
    <t>3529110502820006</t>
  </si>
  <si>
    <t>Mutli'ah</t>
  </si>
  <si>
    <t>3529116306850005</t>
  </si>
  <si>
    <t>Millatul Mu'tamidah</t>
  </si>
  <si>
    <t>3529116209140001</t>
  </si>
  <si>
    <t>3529112708140004</t>
  </si>
  <si>
    <t>Abd. Latif</t>
  </si>
  <si>
    <t>3529110107890108</t>
  </si>
  <si>
    <t>Zaitunah</t>
  </si>
  <si>
    <t>3529116805900003</t>
  </si>
  <si>
    <t>Ahmad Nazar</t>
  </si>
  <si>
    <t>3529111906140001</t>
  </si>
  <si>
    <t>3529113001130004</t>
  </si>
  <si>
    <t>Halifah</t>
  </si>
  <si>
    <t>3529111612820003</t>
  </si>
  <si>
    <t>Uswatun</t>
  </si>
  <si>
    <t>3529115906860002</t>
  </si>
  <si>
    <t>111235290040210336</t>
  </si>
  <si>
    <t>111235290040210337</t>
  </si>
  <si>
    <t>111235290040210338</t>
  </si>
  <si>
    <t>111235290040210339</t>
  </si>
  <si>
    <t>111235290040210340</t>
  </si>
  <si>
    <t>111235290040210341</t>
  </si>
  <si>
    <t>111235290040210342</t>
  </si>
  <si>
    <t>111235290040210343</t>
  </si>
  <si>
    <t>111235290040210344</t>
  </si>
  <si>
    <t>111235290040210345</t>
  </si>
  <si>
    <t>3529112204150002</t>
  </si>
  <si>
    <t>3529110410190001</t>
  </si>
  <si>
    <t>Lasmadi</t>
  </si>
  <si>
    <t>3523021004860002</t>
  </si>
  <si>
    <t>Muflihah</t>
  </si>
  <si>
    <t>Muhammad Abinaya Pratama</t>
  </si>
  <si>
    <t>klas 1</t>
  </si>
  <si>
    <t>klas 2</t>
  </si>
  <si>
    <t>klas 3</t>
  </si>
  <si>
    <t>K</t>
  </si>
  <si>
    <t>klas 4</t>
  </si>
  <si>
    <t>klas 6</t>
  </si>
  <si>
    <t>klas 5</t>
  </si>
  <si>
    <t>Diana Dzurriyyatul Jannah</t>
  </si>
  <si>
    <t>3529117005140000</t>
  </si>
  <si>
    <t>111235290040210323</t>
  </si>
  <si>
    <t>3529117005140002</t>
  </si>
  <si>
    <t>Qorina El-Haliza</t>
  </si>
  <si>
    <t>Ahmad Mufid</t>
  </si>
  <si>
    <t>Ahmad Firdaus</t>
  </si>
  <si>
    <t>Azka Athfar Robbani</t>
  </si>
  <si>
    <t>Fasih Akbar Sulthani</t>
  </si>
  <si>
    <t>Ibnu Aqil</t>
  </si>
  <si>
    <t>Moh. Alif Robbanie</t>
  </si>
  <si>
    <t>Moh. Rafif Ardani</t>
  </si>
  <si>
    <t>Muhammad Zaka Khanza</t>
  </si>
  <si>
    <t>Munalisa Muyassaroh Wafiq</t>
  </si>
  <si>
    <t>Ulfa Callista Maulidia</t>
  </si>
  <si>
    <t>Wafiqah Muyassarah</t>
  </si>
  <si>
    <t>0151166256</t>
  </si>
  <si>
    <t>0161161876</t>
  </si>
  <si>
    <t>0154856911</t>
  </si>
  <si>
    <t>0158365378</t>
  </si>
  <si>
    <t>0151552223</t>
  </si>
  <si>
    <t>0157042263</t>
  </si>
  <si>
    <t>0153962493</t>
  </si>
  <si>
    <t>0152068531</t>
  </si>
  <si>
    <t xml:space="preserve">Dusun Bapelle </t>
  </si>
  <si>
    <t xml:space="preserve">Dusun Topoar </t>
  </si>
  <si>
    <t>111235290040220347</t>
  </si>
  <si>
    <t>111235290040220348</t>
  </si>
  <si>
    <t>111235290040220349</t>
  </si>
  <si>
    <t>111235290040220350</t>
  </si>
  <si>
    <t>111235290040220351</t>
  </si>
  <si>
    <t>111235290040220352</t>
  </si>
  <si>
    <t>111235290040220353</t>
  </si>
  <si>
    <t>111235290040220354</t>
  </si>
  <si>
    <t>111235290040220355</t>
  </si>
  <si>
    <t>111235290040220356</t>
  </si>
  <si>
    <t>111235290040220357</t>
  </si>
  <si>
    <t>111235290040220358</t>
  </si>
  <si>
    <t>111235290040220359</t>
  </si>
  <si>
    <t>111235290040220360</t>
  </si>
  <si>
    <t>111235290040220361</t>
  </si>
  <si>
    <t>Muhammad Khotifun Nizam</t>
  </si>
  <si>
    <t>Muhammad Nazilurrahmah</t>
  </si>
  <si>
    <t>Dun Berruh</t>
  </si>
  <si>
    <t>3529112612140001</t>
  </si>
  <si>
    <t>3529112507150001</t>
  </si>
  <si>
    <t>3529111501160002</t>
  </si>
  <si>
    <t>3529111501160003</t>
  </si>
  <si>
    <t>3529110310150001</t>
  </si>
  <si>
    <t>3529110401160001</t>
  </si>
  <si>
    <t>3529111207150002</t>
  </si>
  <si>
    <t>3529111411150001</t>
  </si>
  <si>
    <t>3529111706150002</t>
  </si>
  <si>
    <t>3529114409150001</t>
  </si>
  <si>
    <t>3529112405150000</t>
  </si>
  <si>
    <t>3529112405150003</t>
  </si>
  <si>
    <t>3529115811150002</t>
  </si>
  <si>
    <t>3529116812150003</t>
  </si>
  <si>
    <t>3529116708150003</t>
  </si>
  <si>
    <t>0146950436</t>
  </si>
  <si>
    <t>0124037779</t>
  </si>
  <si>
    <t>0148697538</t>
  </si>
  <si>
    <t>0142425580</t>
  </si>
  <si>
    <t>0146706222</t>
  </si>
  <si>
    <t>0131367346</t>
  </si>
  <si>
    <t>0148225122</t>
  </si>
  <si>
    <t>0138948832</t>
  </si>
  <si>
    <t>0146371549</t>
  </si>
  <si>
    <t>0142518451</t>
  </si>
  <si>
    <t>0158353953</t>
  </si>
  <si>
    <t>0148961288</t>
  </si>
  <si>
    <t>0156790225</t>
  </si>
  <si>
    <t>0157123899</t>
  </si>
  <si>
    <t>3529111703150005</t>
  </si>
  <si>
    <t>Nawail</t>
  </si>
  <si>
    <t>3529112703910003</t>
  </si>
  <si>
    <t>3529114412920003</t>
  </si>
  <si>
    <t>3529112212110003</t>
  </si>
  <si>
    <t>Baihaqi</t>
  </si>
  <si>
    <t>3529110812551156</t>
  </si>
  <si>
    <t>Misnawa</t>
  </si>
  <si>
    <t>3529114204790010</t>
  </si>
  <si>
    <t>3529111212760012</t>
  </si>
  <si>
    <t>3529114306820001</t>
  </si>
  <si>
    <t>3529110403090056</t>
  </si>
  <si>
    <t>FATHORRAZI</t>
  </si>
  <si>
    <t>3529111801120002</t>
  </si>
  <si>
    <t>3529111307880001</t>
  </si>
  <si>
    <t>3529114312930001</t>
  </si>
  <si>
    <t>3529110408150009</t>
  </si>
  <si>
    <t>3529110408831155</t>
  </si>
  <si>
    <t>3529116402970001</t>
  </si>
  <si>
    <t>0151368079</t>
  </si>
  <si>
    <t>0142809693</t>
  </si>
  <si>
    <t>3529113008120011</t>
  </si>
  <si>
    <t>3529110604750005</t>
  </si>
  <si>
    <t>3529114508800007</t>
  </si>
  <si>
    <t>3529111507150008</t>
  </si>
  <si>
    <t>Jumlah Jenis Kelamin                                :</t>
  </si>
  <si>
    <t>KHALIPAH TAURUS</t>
  </si>
  <si>
    <t>MAIMUNAH</t>
  </si>
  <si>
    <t>WASILAH</t>
  </si>
  <si>
    <t>3529111412150000</t>
  </si>
  <si>
    <t>SUYANTO</t>
  </si>
  <si>
    <t>NOER AINI</t>
  </si>
  <si>
    <t>BADRUS SALAM</t>
  </si>
  <si>
    <t>FARIDA ANDIANA</t>
  </si>
  <si>
    <t>AHMADI</t>
  </si>
  <si>
    <t>WALIYAH</t>
  </si>
  <si>
    <t>3529110709160006</t>
  </si>
  <si>
    <t>SUNARDI</t>
  </si>
  <si>
    <t>3529062506880002</t>
  </si>
  <si>
    <t>NOER HAYATI</t>
  </si>
  <si>
    <t>3529114609960004</t>
  </si>
  <si>
    <t>3529110403090108</t>
  </si>
  <si>
    <t>MOH. AZID</t>
  </si>
  <si>
    <t>3529112602750003</t>
  </si>
  <si>
    <t>MASRIFAH</t>
  </si>
  <si>
    <t>3529116305800001</t>
  </si>
  <si>
    <t>3529112612190001</t>
  </si>
  <si>
    <t>MULYADI</t>
  </si>
  <si>
    <t>3512021504910004</t>
  </si>
  <si>
    <t>KHALILAH</t>
  </si>
  <si>
    <t>3529115404850003</t>
  </si>
  <si>
    <t>3529112306160001</t>
  </si>
  <si>
    <t>HAMDI</t>
  </si>
  <si>
    <t>3529111502900010</t>
  </si>
  <si>
    <t>ZAIKAH</t>
  </si>
  <si>
    <t>3529116611960006</t>
  </si>
  <si>
    <t>AHMAD WAQITH</t>
  </si>
  <si>
    <t>3525112212790002</t>
  </si>
  <si>
    <t>3529111802110015</t>
  </si>
  <si>
    <t>LAILI</t>
  </si>
  <si>
    <t>SUAIDAH</t>
  </si>
  <si>
    <t>3529114201850008</t>
  </si>
  <si>
    <t>0158446469</t>
  </si>
  <si>
    <t>0145088597</t>
  </si>
  <si>
    <t>0158315039</t>
  </si>
  <si>
    <t>MUTAMMIMAH</t>
  </si>
  <si>
    <t>3529004706900008</t>
  </si>
  <si>
    <t>3529110107801159</t>
  </si>
  <si>
    <t>3529115804930006</t>
  </si>
  <si>
    <t>Adib Zainul Muttaqin</t>
  </si>
  <si>
    <t>Ahmad Faiq</t>
  </si>
  <si>
    <t>Ainayah Fatiyaturrahmah Hafas</t>
  </si>
  <si>
    <t>Akbar Muhammad</t>
  </si>
  <si>
    <t>Elsya Maisyuroh Al-Mahdi</t>
  </si>
  <si>
    <t>Kamiliya Ulfah</t>
  </si>
  <si>
    <t>Maghfiroh</t>
  </si>
  <si>
    <t>Miftahul Firdaus</t>
  </si>
  <si>
    <t>Moh. Shafwan Firdaus</t>
  </si>
  <si>
    <t>Moh. Sofwan Firdaus. M.H</t>
  </si>
  <si>
    <t>Muhammad Badwi</t>
  </si>
  <si>
    <t>Muhammad Fahri Al-Fayyadl</t>
  </si>
  <si>
    <t>Muhammad Hayat</t>
  </si>
  <si>
    <t>Safinatun Najah</t>
  </si>
  <si>
    <t>Siti Nur Khalishah</t>
  </si>
  <si>
    <t>Ziyadatul Islamiyah</t>
  </si>
  <si>
    <t>0178966404</t>
  </si>
  <si>
    <t>0168175890</t>
  </si>
  <si>
    <t>Bangkalan</t>
  </si>
  <si>
    <t>MOH. ZALIP</t>
  </si>
  <si>
    <t>MASYHARI</t>
  </si>
  <si>
    <t>HAFI</t>
  </si>
  <si>
    <t>ACH. KHAMAIDI, S.PD.I.</t>
  </si>
  <si>
    <t>Mahdi</t>
  </si>
  <si>
    <t>RAWAKI</t>
  </si>
  <si>
    <t>ABD. MU`IS</t>
  </si>
  <si>
    <t>MUZAMMIL</t>
  </si>
  <si>
    <t>MUZAKKI</t>
  </si>
  <si>
    <t>SAID</t>
  </si>
  <si>
    <t>MUHAMMAD QUDSI</t>
  </si>
  <si>
    <t>MOH. BAKIR</t>
  </si>
  <si>
    <t>HOIRUDDIN</t>
  </si>
  <si>
    <t>SYAIFULLAH</t>
  </si>
  <si>
    <t>ACH. YAZID</t>
  </si>
  <si>
    <t>MUAYYANAH</t>
  </si>
  <si>
    <t>TINSIYAH</t>
  </si>
  <si>
    <t>IMAMAH</t>
  </si>
  <si>
    <t>SHIDDIQAH</t>
  </si>
  <si>
    <t>MASRUROH</t>
  </si>
  <si>
    <t>LIZAMAH</t>
  </si>
  <si>
    <t>FITRIYAH</t>
  </si>
  <si>
    <t>SITTIHAH</t>
  </si>
  <si>
    <t>NAHLAH</t>
  </si>
  <si>
    <t>HAFIDAH</t>
  </si>
  <si>
    <t>MISRIYAH</t>
  </si>
  <si>
    <t>SAYYIDAH</t>
  </si>
  <si>
    <t>USWATUN HASANAH</t>
  </si>
  <si>
    <t>RASIDAH</t>
  </si>
  <si>
    <t>HASIAH</t>
  </si>
  <si>
    <t>AISIYAH</t>
  </si>
  <si>
    <t>IZZATUN</t>
  </si>
  <si>
    <t>Sama Rotul Jannah</t>
  </si>
  <si>
    <t>3529116708160001</t>
  </si>
  <si>
    <t>3529116303170002</t>
  </si>
  <si>
    <t>3529114101170001</t>
  </si>
  <si>
    <t>3529115703170001</t>
  </si>
  <si>
    <t>3529112509160001</t>
  </si>
  <si>
    <t>3529112809110015</t>
  </si>
  <si>
    <t>Idrisi</t>
  </si>
  <si>
    <t>3529110511810002</t>
  </si>
  <si>
    <t>Habibah</t>
  </si>
  <si>
    <t>3529115206840005</t>
  </si>
  <si>
    <t>Ahmad Ilzami</t>
  </si>
  <si>
    <t>3529112208160002</t>
  </si>
  <si>
    <t>3529112412210001</t>
  </si>
  <si>
    <t>Faridi</t>
  </si>
  <si>
    <t>3529110503870007</t>
  </si>
  <si>
    <t>Lailatun</t>
  </si>
  <si>
    <t>3529116201900002</t>
  </si>
  <si>
    <t>Wafiyatul Azizah</t>
  </si>
  <si>
    <t>3529115902170001</t>
  </si>
  <si>
    <t>3529113008120016</t>
  </si>
  <si>
    <t>Ahmad Baidi</t>
  </si>
  <si>
    <t>3529111502860008</t>
  </si>
  <si>
    <t>Anamul Khair</t>
  </si>
  <si>
    <t>3529116805920006</t>
  </si>
  <si>
    <t>Whiyasatul Khusna</t>
  </si>
  <si>
    <t>3529115201170001</t>
  </si>
  <si>
    <t>3529110510110030</t>
  </si>
  <si>
    <t>Fauzan</t>
  </si>
  <si>
    <t>3529111507870020</t>
  </si>
  <si>
    <t>Moniyah</t>
  </si>
  <si>
    <t>3529114609880006</t>
  </si>
  <si>
    <t>Ahmad Andika</t>
  </si>
  <si>
    <t>3529112610150001</t>
  </si>
  <si>
    <t>3529112802090076</t>
  </si>
  <si>
    <t xml:space="preserve">Salamet </t>
  </si>
  <si>
    <t>3529110107711158</t>
  </si>
  <si>
    <t>Yatik</t>
  </si>
  <si>
    <t>3529114107720153</t>
  </si>
  <si>
    <t>Ahmad Rendy</t>
  </si>
  <si>
    <t>3529112611150002</t>
  </si>
  <si>
    <t>3529112708150001</t>
  </si>
  <si>
    <t>Saiful Bahri</t>
  </si>
  <si>
    <t>3529111105910003</t>
  </si>
  <si>
    <t>Muttaatul Mutaallimah</t>
  </si>
  <si>
    <t>3529114107080002</t>
  </si>
  <si>
    <t>Ahmad Adlan</t>
  </si>
  <si>
    <t>3529112212160001</t>
  </si>
  <si>
    <t>3529112408120009</t>
  </si>
  <si>
    <t>Ibroni</t>
  </si>
  <si>
    <t>3529110808961157</t>
  </si>
  <si>
    <t>Nur Lindayati</t>
  </si>
  <si>
    <t>3529116105980002</t>
  </si>
  <si>
    <t>111235290040230364</t>
  </si>
  <si>
    <t>111235290040230365</t>
  </si>
  <si>
    <t>111235290040230366</t>
  </si>
  <si>
    <t>111235290040230367</t>
  </si>
  <si>
    <t>111235290040230368</t>
  </si>
  <si>
    <t>111235290040230369</t>
  </si>
  <si>
    <t>111235290040230370</t>
  </si>
  <si>
    <t>111235290040230371</t>
  </si>
  <si>
    <t>111235290040230372</t>
  </si>
  <si>
    <t>111235290040230373</t>
  </si>
  <si>
    <t>111235290040230374</t>
  </si>
  <si>
    <t>111235290040230375</t>
  </si>
  <si>
    <t>111235290040230376</t>
  </si>
  <si>
    <t>111235290040230377</t>
  </si>
  <si>
    <t>111235290040230378</t>
  </si>
  <si>
    <t>111235290040230379</t>
  </si>
  <si>
    <t>111235290040230380</t>
  </si>
  <si>
    <t>111235290040230381</t>
  </si>
  <si>
    <t>111235290040230382</t>
  </si>
  <si>
    <t>111235290040230383</t>
  </si>
  <si>
    <t>111235290040230384</t>
  </si>
  <si>
    <t>111235290040230385</t>
  </si>
  <si>
    <t>111235290040230386</t>
  </si>
  <si>
    <t>111235290040230387</t>
  </si>
  <si>
    <t>111235290040230388</t>
  </si>
  <si>
    <t>3160287308</t>
  </si>
  <si>
    <t>0152392636</t>
  </si>
  <si>
    <t>0161105744</t>
  </si>
  <si>
    <t>0131242056</t>
  </si>
  <si>
    <t>0169030763</t>
  </si>
  <si>
    <t>3172083771</t>
  </si>
  <si>
    <t>0179943203</t>
  </si>
  <si>
    <t>3529111412160001</t>
  </si>
  <si>
    <t>3529111203170001</t>
  </si>
  <si>
    <t>3529115604170001</t>
  </si>
  <si>
    <t>3529116112160001</t>
  </si>
  <si>
    <t>3529112101170001</t>
  </si>
  <si>
    <t>3529115404170001</t>
  </si>
  <si>
    <t>3529114606170003</t>
  </si>
  <si>
    <t>3529117110160001</t>
  </si>
  <si>
    <t>3529111304170001</t>
  </si>
  <si>
    <t>3529110501170002</t>
  </si>
  <si>
    <t>3529111804170002</t>
  </si>
  <si>
    <t>3529110201170001</t>
  </si>
  <si>
    <t>3529110805170001</t>
  </si>
  <si>
    <t>3529111105170001</t>
  </si>
  <si>
    <t xml:space="preserve">Somangkaan </t>
  </si>
  <si>
    <t>Aisya'adah</t>
  </si>
  <si>
    <t>35291104012120002</t>
  </si>
  <si>
    <t>Sajari</t>
  </si>
  <si>
    <t>3529111708890015</t>
  </si>
  <si>
    <t>3529116308930001</t>
  </si>
  <si>
    <t>3529110107761160</t>
  </si>
  <si>
    <t>3529114107860160</t>
  </si>
  <si>
    <t>3529112604110060</t>
  </si>
  <si>
    <t>3529110406140000</t>
  </si>
  <si>
    <t>3529113006870000</t>
  </si>
  <si>
    <t>3529115107880000</t>
  </si>
  <si>
    <t>3529110208810003</t>
  </si>
  <si>
    <t>3529115202850003</t>
  </si>
  <si>
    <t>3529113103080002</t>
  </si>
  <si>
    <t>3529111712190004</t>
  </si>
  <si>
    <t>3529110108781158</t>
  </si>
  <si>
    <t>Su'udah</t>
  </si>
  <si>
    <t>3527034711830006</t>
  </si>
  <si>
    <t>3529111812190001</t>
  </si>
  <si>
    <t>3529111708930006</t>
  </si>
  <si>
    <t>3529115610970002</t>
  </si>
  <si>
    <t>3529112501210004</t>
  </si>
  <si>
    <t>3529112503890003</t>
  </si>
  <si>
    <t>3526174803950001</t>
  </si>
  <si>
    <t>3529110903090005</t>
  </si>
  <si>
    <t>3529112902720001</t>
  </si>
  <si>
    <t>3529117008800001</t>
  </si>
  <si>
    <t>3529110603090029</t>
  </si>
  <si>
    <t>3529111712750004</t>
  </si>
  <si>
    <t>3529114406800007</t>
  </si>
  <si>
    <t>3529110502100018</t>
  </si>
  <si>
    <t>3529111806820003</t>
  </si>
  <si>
    <t>3529115907870006</t>
  </si>
  <si>
    <t>3529111907170003</t>
  </si>
  <si>
    <t>3529110403750007</t>
  </si>
  <si>
    <t>3529114107880125</t>
  </si>
  <si>
    <t>3529112106170001</t>
  </si>
  <si>
    <t>3529112903850003</t>
  </si>
  <si>
    <t>3529114405920001</t>
  </si>
  <si>
    <t>3529111008170003</t>
  </si>
  <si>
    <t>3529110510801155</t>
  </si>
  <si>
    <t>3529114301900001</t>
  </si>
  <si>
    <t>3529110108170003</t>
  </si>
  <si>
    <t>3529110406931155</t>
  </si>
  <si>
    <t>3529114807970003</t>
  </si>
  <si>
    <t>3529110803090029</t>
  </si>
  <si>
    <t>3529111206820008</t>
  </si>
  <si>
    <t>3529114404870008</t>
  </si>
  <si>
    <t>3529110403090113</t>
  </si>
  <si>
    <t>3529110704830002</t>
  </si>
  <si>
    <t>3529115205870001</t>
  </si>
  <si>
    <t>3529110305170001</t>
  </si>
  <si>
    <t>3529110812800005</t>
  </si>
  <si>
    <t>3529115509840002</t>
  </si>
  <si>
    <t>3529110805170004</t>
  </si>
  <si>
    <t>3529112402920002</t>
  </si>
  <si>
    <t>3529116006940005</t>
  </si>
  <si>
    <t>3178593271</t>
  </si>
  <si>
    <t>Afifah Izzatun Nisa Ahmad</t>
  </si>
  <si>
    <t>Aliyah Nidaul Karimah</t>
  </si>
  <si>
    <t>Azmiya Zahira</t>
  </si>
  <si>
    <t>M. Alif Fatih Rizali</t>
  </si>
  <si>
    <t>Moh. Aqiel  Salim</t>
  </si>
  <si>
    <t>Muhammad Al Farizi Irawan</t>
  </si>
  <si>
    <t>Mahtumah Naurotul Adawiyah</t>
  </si>
  <si>
    <t>Inayatul Jannah</t>
  </si>
  <si>
    <t>0176224451</t>
  </si>
  <si>
    <t>Faiqotul Umrah</t>
  </si>
  <si>
    <t>3175758706</t>
  </si>
  <si>
    <t>0158081173</t>
  </si>
  <si>
    <t>3170247702</t>
  </si>
  <si>
    <t>0171265533</t>
  </si>
  <si>
    <t>3175471490</t>
  </si>
  <si>
    <t>3187243231</t>
  </si>
  <si>
    <t>3177703685</t>
  </si>
  <si>
    <t>3177566700</t>
  </si>
  <si>
    <t>3175692150</t>
  </si>
  <si>
    <t>3172865201</t>
  </si>
  <si>
    <t>3183860839</t>
  </si>
  <si>
    <t>3186965638</t>
  </si>
  <si>
    <t>3529115509170001</t>
  </si>
  <si>
    <t>3529114403180001</t>
  </si>
  <si>
    <t>3529116611170001</t>
  </si>
  <si>
    <t>3529116306170003</t>
  </si>
  <si>
    <t>3529112504170001</t>
  </si>
  <si>
    <t>3529111007170001</t>
  </si>
  <si>
    <t>3529110601180002</t>
  </si>
  <si>
    <t>3529111007180002</t>
  </si>
  <si>
    <t>111235290040240389</t>
  </si>
  <si>
    <t>111235290040240390</t>
  </si>
  <si>
    <t>111235290040240391</t>
  </si>
  <si>
    <t>111235290040240392</t>
  </si>
  <si>
    <t>111235290040240393</t>
  </si>
  <si>
    <t>111235290040240394</t>
  </si>
  <si>
    <t>111235290040240395</t>
  </si>
  <si>
    <t>111235290040240396</t>
  </si>
  <si>
    <t>111235290040240397</t>
  </si>
  <si>
    <t>111235290040240398</t>
  </si>
  <si>
    <t>111235290040240399</t>
  </si>
  <si>
    <t>111235290040240400</t>
  </si>
  <si>
    <t>111235290040240401</t>
  </si>
  <si>
    <t>3529110503090019</t>
  </si>
  <si>
    <t>Junaidi Ahmad</t>
  </si>
  <si>
    <t>3529110301930003</t>
  </si>
  <si>
    <t>Anisatul Munawwarah</t>
  </si>
  <si>
    <t>3529114606960004</t>
  </si>
  <si>
    <t>3529110503090013</t>
  </si>
  <si>
    <t>Moh. Nazil</t>
  </si>
  <si>
    <t>3529110708850002</t>
  </si>
  <si>
    <t>3529114204870007</t>
  </si>
  <si>
    <t xml:space="preserve">Ach. Laili </t>
  </si>
  <si>
    <t>Maratul Jannah</t>
  </si>
  <si>
    <t>3529110105170002</t>
  </si>
  <si>
    <t>3529114303170004</t>
  </si>
  <si>
    <t>3529115010170001</t>
  </si>
  <si>
    <t>3529115511170001</t>
  </si>
  <si>
    <t>3529110605170003</t>
  </si>
  <si>
    <t>3529110310140008</t>
  </si>
  <si>
    <t>Wardi</t>
  </si>
  <si>
    <t>3529110408820002</t>
  </si>
  <si>
    <t>Khadaifah</t>
  </si>
  <si>
    <t>3529115104890002</t>
  </si>
  <si>
    <t>Muhammad Al Karobi</t>
  </si>
  <si>
    <t>Amar Fathoni</t>
  </si>
  <si>
    <t>Naura Nafisa Rafi'a</t>
  </si>
  <si>
    <t>3529094909160002</t>
  </si>
  <si>
    <t>111235290040240402</t>
  </si>
  <si>
    <t>Dusun Pangilen</t>
  </si>
  <si>
    <t>3529111711930001</t>
  </si>
  <si>
    <t>ACH. ROFI'IE</t>
  </si>
  <si>
    <t>ASRI MUNAWARAH</t>
  </si>
  <si>
    <t>3529095110980001</t>
  </si>
  <si>
    <t>3529112402160002</t>
  </si>
  <si>
    <t>Dusun Muralas</t>
  </si>
  <si>
    <t>Muhammad</t>
  </si>
  <si>
    <t>3529112103930003</t>
  </si>
  <si>
    <t>3529116107960002</t>
  </si>
  <si>
    <t>3529111209170003</t>
  </si>
  <si>
    <t>Aliwafa</t>
  </si>
  <si>
    <t>3529111610920002</t>
  </si>
  <si>
    <t>Siti Khalisah Yusuf</t>
  </si>
  <si>
    <t>3529116810960003</t>
  </si>
  <si>
    <t>3529110603090059</t>
  </si>
  <si>
    <t>Muhdar</t>
  </si>
  <si>
    <t>3529111508840007</t>
  </si>
  <si>
    <t>Juma'eya</t>
  </si>
  <si>
    <t>3529114107870141</t>
  </si>
  <si>
    <t>3529112502200007</t>
  </si>
  <si>
    <t>ACH. DZAQI SUNI</t>
  </si>
  <si>
    <t>3529110406941156</t>
  </si>
  <si>
    <t>HAMLAH</t>
  </si>
  <si>
    <t>3529116912000004</t>
  </si>
  <si>
    <t>3529090212160000</t>
  </si>
  <si>
    <t>Data Siswa 2025-2026</t>
  </si>
  <si>
    <t>111235290040250403</t>
  </si>
  <si>
    <t>111235290040250404</t>
  </si>
  <si>
    <t>111235290040250405</t>
  </si>
  <si>
    <t>111235290040250406</t>
  </si>
  <si>
    <t>111235290040250407</t>
  </si>
  <si>
    <t>111235290040250408</t>
  </si>
  <si>
    <t>111235290040250409</t>
  </si>
  <si>
    <t>111235290040250410</t>
  </si>
  <si>
    <t>111235290040250411</t>
  </si>
  <si>
    <t>111235290040250412</t>
  </si>
  <si>
    <t>111235290040250413</t>
  </si>
  <si>
    <t>3529110105062703</t>
  </si>
  <si>
    <t>3529110107770147</t>
  </si>
  <si>
    <t>Moh. Junaidi</t>
  </si>
  <si>
    <t>3529114703980003</t>
  </si>
  <si>
    <t>SILATUL MOTORIYAH</t>
  </si>
  <si>
    <t>Nur Hasan</t>
  </si>
  <si>
    <t>3513142501740001</t>
  </si>
  <si>
    <t>3529115810860006</t>
  </si>
  <si>
    <t>Sahemah</t>
  </si>
  <si>
    <t>Lailatul Fitriyah</t>
  </si>
  <si>
    <t>3529112009190008</t>
  </si>
  <si>
    <t>3529112011170005</t>
  </si>
  <si>
    <t>Mi'ad</t>
  </si>
  <si>
    <t>3529051406880003</t>
  </si>
  <si>
    <t>3529115202990001</t>
  </si>
  <si>
    <t>Hairotin</t>
  </si>
  <si>
    <t>3529111901170008</t>
  </si>
  <si>
    <t>Shohibul Khoir</t>
  </si>
  <si>
    <t>3529052008920008</t>
  </si>
  <si>
    <t>3529115005990004</t>
  </si>
  <si>
    <t>Aisiyah</t>
  </si>
  <si>
    <t>111235290040250414</t>
  </si>
  <si>
    <t>Ahmad Rofiqi</t>
  </si>
  <si>
    <t>Auliya Safitri</t>
  </si>
  <si>
    <t>Diana Qothrun Nada</t>
  </si>
  <si>
    <t>Kamilia Ulfah</t>
  </si>
  <si>
    <t>Moh. Ghufronul Ibad</t>
  </si>
  <si>
    <t>Muhammad Gibran Nashrul Hafidzi</t>
  </si>
  <si>
    <t>Muhammad Ilham Najid Aqifin</t>
  </si>
  <si>
    <t>Muhammad Mahmud Ali Zaen</t>
  </si>
  <si>
    <t>Muhammad Ridha</t>
  </si>
  <si>
    <t>Rizqiyatul Munawwaroh</t>
  </si>
  <si>
    <t>Siska Wahdania Rafasya</t>
  </si>
  <si>
    <t>3188745103</t>
  </si>
  <si>
    <t>3181581744</t>
  </si>
  <si>
    <t>3189308019</t>
  </si>
  <si>
    <t>3186490052</t>
  </si>
  <si>
    <t>3184153205</t>
  </si>
  <si>
    <t>3186344992</t>
  </si>
  <si>
    <t>3184656899</t>
  </si>
  <si>
    <t>3180213135</t>
  </si>
  <si>
    <t>3181219819</t>
  </si>
  <si>
    <t>3186363649</t>
  </si>
  <si>
    <t>'3529110604180003</t>
  </si>
  <si>
    <t>'3529115902180001</t>
  </si>
  <si>
    <t>'3529117110180001</t>
  </si>
  <si>
    <t>'3529115412180002</t>
  </si>
  <si>
    <t>'3529111211180001</t>
  </si>
  <si>
    <t>'3529112112180002</t>
  </si>
  <si>
    <t>'3529112506180001</t>
  </si>
  <si>
    <t>'3529115705180002</t>
  </si>
  <si>
    <t>'3529115809180005</t>
  </si>
  <si>
    <t>'3529115910180001</t>
  </si>
  <si>
    <t>3529112710170005</t>
  </si>
  <si>
    <t>Moh. Rofi'ie</t>
  </si>
  <si>
    <t>3529110412941154</t>
  </si>
  <si>
    <t>Ana Safitri</t>
  </si>
  <si>
    <t>3529116402990001</t>
  </si>
  <si>
    <t>3529110803090095</t>
  </si>
  <si>
    <t>Sadawi</t>
  </si>
  <si>
    <t>3529110107720151</t>
  </si>
  <si>
    <t>Mahwati</t>
  </si>
  <si>
    <t>3529114107740172</t>
  </si>
  <si>
    <t>3529110704170001</t>
  </si>
  <si>
    <t>Abd. Ra'uf</t>
  </si>
  <si>
    <t>3529113004710001</t>
  </si>
  <si>
    <t>Waqi`ah</t>
  </si>
  <si>
    <t>3529115110760004</t>
  </si>
  <si>
    <t>3529112007200007</t>
  </si>
  <si>
    <t>3529112008180003</t>
  </si>
  <si>
    <t>Ach. Muhsi M</t>
  </si>
  <si>
    <t>3529110704920002</t>
  </si>
  <si>
    <t>Zainiyah</t>
  </si>
  <si>
    <t>3529115105950003</t>
  </si>
  <si>
    <t>3529112910180001</t>
  </si>
  <si>
    <t>Hozali</t>
  </si>
  <si>
    <t>3529112904900001</t>
  </si>
  <si>
    <t>Ra'aini</t>
  </si>
  <si>
    <t>3529115504970003</t>
  </si>
  <si>
    <t>3529110403090106</t>
  </si>
  <si>
    <t>Khoirul Bahri</t>
  </si>
  <si>
    <t>3529111310800004</t>
  </si>
  <si>
    <t>Aqidah</t>
  </si>
  <si>
    <t>3529114107820169</t>
  </si>
  <si>
    <t>3529110803090020</t>
  </si>
  <si>
    <t>Misto</t>
  </si>
  <si>
    <t>3529111607840005</t>
  </si>
  <si>
    <t>Zahrah</t>
  </si>
  <si>
    <t>3529115612880004</t>
  </si>
  <si>
    <t>3529112007180002</t>
  </si>
  <si>
    <t>Wahed, S.Kom.I</t>
  </si>
  <si>
    <t>3529112106890003</t>
  </si>
  <si>
    <t>Dalilah, S.Pd.I</t>
  </si>
  <si>
    <t>3529116706940003</t>
  </si>
  <si>
    <t>3529112009190006</t>
  </si>
  <si>
    <t>Abdus Salam</t>
  </si>
  <si>
    <t>3529110501910002</t>
  </si>
  <si>
    <t>Irma Firnanda</t>
  </si>
  <si>
    <t>Rini Safitri</t>
  </si>
  <si>
    <t>111235290040250415</t>
  </si>
  <si>
    <t>111235290040250416</t>
  </si>
  <si>
    <t>Mohammad Abbad Nailun Nabhan</t>
  </si>
  <si>
    <t>3185210134</t>
  </si>
  <si>
    <t>3173150194</t>
  </si>
  <si>
    <t>3184181000</t>
  </si>
  <si>
    <t>3180101027</t>
  </si>
  <si>
    <t>Muhammad Akbar Mubarok</t>
  </si>
  <si>
    <t>111235290040250417</t>
  </si>
  <si>
    <t>`3529110709190001</t>
  </si>
  <si>
    <t>`3529112908180001</t>
  </si>
  <si>
    <t>3529111907180002</t>
  </si>
  <si>
    <t>Amir Faishol</t>
  </si>
  <si>
    <t>3529111708950008</t>
  </si>
  <si>
    <t>Anisatul Hasanah</t>
  </si>
  <si>
    <t>3529116010970005</t>
  </si>
  <si>
    <t>`3529111908170004</t>
  </si>
  <si>
    <t>3529110103090090</t>
  </si>
  <si>
    <t>3529111204790005</t>
  </si>
  <si>
    <t>3529110705180003</t>
  </si>
  <si>
    <t>Nadirah</t>
  </si>
  <si>
    <t>3529114506820009</t>
  </si>
  <si>
    <t>`3529115404180004</t>
  </si>
  <si>
    <t>3529112704210008</t>
  </si>
  <si>
    <t>Moh. Sholeh Rizal</t>
  </si>
  <si>
    <t>3529110507900002</t>
  </si>
  <si>
    <t>Ita</t>
  </si>
  <si>
    <t>3527125005840038</t>
  </si>
  <si>
    <t>3529112912140015</t>
  </si>
  <si>
    <t>Muslimin</t>
  </si>
  <si>
    <t>3529110203841155</t>
  </si>
  <si>
    <t>Ainur Rosyidah</t>
  </si>
  <si>
    <t>3529114911850004</t>
  </si>
  <si>
    <t>Muhammad 'Affan Nur Majid</t>
  </si>
  <si>
    <t>kelas</t>
  </si>
  <si>
    <t>JML</t>
  </si>
  <si>
    <t>3196893679</t>
  </si>
  <si>
    <t>Muhammad Zaqi Astofani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</si>
</sst>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3"/>
      <color rgb="FF000000"/>
      <name val="Arial"/>
      <family val="2"/>
    </font>
    <font>
      <sz val="11"/>
      <color rgb="FF222222"/>
      <name val="Arial"/>
      <family val="2"/>
    </font>
    <font>
      <sz val="12"/>
      <color rgb="FF14142B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3">
    <xf numFmtId="0" fontId="0" fillId="0" borderId="0" xfId="0"/>
    <xf numFmtId="0" fontId="2" fillId="0" borderId="0" xfId="0" applyFont="1" applyAlignment="1">
      <alignment horizontal="center" vertical="center"/>
    </xf>
    <xf numFmtId="14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quotePrefix="1" applyFont="1" applyFill="1" applyBorder="1" applyAlignment="1">
      <alignment horizontal="center" vertical="center"/>
    </xf>
    <xf numFmtId="0" fontId="0" fillId="0" borderId="0" xfId="0" applyAlignment="1"/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0" fontId="0" fillId="3" borderId="1" xfId="0" quotePrefix="1" applyFont="1" applyFill="1" applyBorder="1" applyAlignment="1">
      <alignment horizontal="center" vertical="center"/>
    </xf>
    <xf numFmtId="14" fontId="0" fillId="3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0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4" borderId="1" xfId="0" applyFont="1" applyFill="1" applyBorder="1" applyAlignment="1">
      <alignment horizontal="center" vertical="center"/>
    </xf>
    <xf numFmtId="0" fontId="0" fillId="4" borderId="1" xfId="0" quotePrefix="1" applyFont="1" applyFill="1" applyBorder="1" applyAlignment="1">
      <alignment horizontal="center" vertical="center"/>
    </xf>
    <xf numFmtId="14" fontId="0" fillId="4" borderId="1" xfId="0" applyNumberFormat="1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2" fillId="2" borderId="1" xfId="0" quotePrefix="1" applyFont="1" applyFill="1" applyBorder="1" applyAlignment="1">
      <alignment horizontal="center" vertical="center"/>
    </xf>
    <xf numFmtId="0" fontId="4" fillId="0" borderId="1" xfId="0" applyFont="1" applyBorder="1"/>
    <xf numFmtId="0" fontId="2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quotePrefix="1" applyFon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left" vertical="top" wrapText="1"/>
    </xf>
    <xf numFmtId="0" fontId="2" fillId="5" borderId="1" xfId="0" quotePrefix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quotePrefix="1" applyFont="1" applyFill="1" applyBorder="1" applyAlignment="1">
      <alignment horizontal="left" vertical="center"/>
    </xf>
    <xf numFmtId="14" fontId="0" fillId="5" borderId="1" xfId="0" applyNumberFormat="1" applyFont="1" applyFill="1" applyBorder="1" applyAlignment="1">
      <alignment horizontal="left" vertical="center"/>
    </xf>
    <xf numFmtId="0" fontId="5" fillId="0" borderId="0" xfId="0" applyFont="1"/>
    <xf numFmtId="0" fontId="5" fillId="0" borderId="1" xfId="0" applyFont="1" applyBorder="1"/>
    <xf numFmtId="0" fontId="0" fillId="6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left" vertical="center"/>
    </xf>
    <xf numFmtId="0" fontId="0" fillId="6" borderId="1" xfId="0" quotePrefix="1" applyFon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left" vertical="top" wrapText="1"/>
    </xf>
    <xf numFmtId="0" fontId="2" fillId="6" borderId="1" xfId="0" quotePrefix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quotePrefix="1" applyFont="1" applyFill="1" applyBorder="1" applyAlignment="1">
      <alignment horizontal="left" vertical="center"/>
    </xf>
    <xf numFmtId="14" fontId="0" fillId="6" borderId="1" xfId="0" applyNumberFormat="1" applyFont="1" applyFill="1" applyBorder="1" applyAlignment="1">
      <alignment horizontal="left" vertical="center"/>
    </xf>
    <xf numFmtId="0" fontId="2" fillId="6" borderId="1" xfId="0" quotePrefix="1" applyFont="1" applyFill="1" applyBorder="1" applyAlignment="1">
      <alignment horizontal="left" vertical="center" wrapText="1"/>
    </xf>
    <xf numFmtId="0" fontId="0" fillId="7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left" vertical="center"/>
    </xf>
    <xf numFmtId="0" fontId="0" fillId="7" borderId="1" xfId="0" quotePrefix="1" applyFon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left" vertical="top" wrapText="1"/>
    </xf>
    <xf numFmtId="0" fontId="2" fillId="7" borderId="1" xfId="0" quotePrefix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quotePrefix="1" applyFont="1" applyFill="1" applyBorder="1" applyAlignment="1">
      <alignment horizontal="left" vertical="center" wrapText="1"/>
    </xf>
    <xf numFmtId="0" fontId="2" fillId="7" borderId="1" xfId="0" quotePrefix="1" applyFont="1" applyFill="1" applyBorder="1" applyAlignment="1">
      <alignment horizontal="left" vertical="center"/>
    </xf>
    <xf numFmtId="14" fontId="0" fillId="7" borderId="1" xfId="0" applyNumberFormat="1" applyFont="1" applyFill="1" applyBorder="1" applyAlignment="1">
      <alignment horizontal="left" vertical="center"/>
    </xf>
    <xf numFmtId="0" fontId="2" fillId="6" borderId="1" xfId="0" quotePrefix="1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left" vertical="center"/>
    </xf>
    <xf numFmtId="0" fontId="0" fillId="3" borderId="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iswa%20Baru%20%20202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-2025 New"/>
      <sheetName val="Nuja"/>
      <sheetName val="Nuja (2)"/>
      <sheetName val="Sheet1"/>
      <sheetName val="Darussalam"/>
      <sheetName val="Sheet3"/>
      <sheetName val="Sheet2"/>
    </sheetNames>
    <sheetDataSet>
      <sheetData sheetId="0">
        <row r="70">
          <cell r="B70" t="str">
            <v>St. Badriyatut Tamamah</v>
          </cell>
          <cell r="C70" t="str">
            <v>0159300586</v>
          </cell>
          <cell r="D70" t="str">
            <v>P</v>
          </cell>
          <cell r="E70" t="str">
            <v>3529114702150001</v>
          </cell>
          <cell r="F70" t="str">
            <v>111235290040210346</v>
          </cell>
          <cell r="G70" t="str">
            <v>Sumenep</v>
          </cell>
          <cell r="H70">
            <v>42042</v>
          </cell>
          <cell r="J70" t="str">
            <v>Dusun Bapelle</v>
          </cell>
          <cell r="K70" t="str">
            <v>3529112307150005</v>
          </cell>
          <cell r="L70" t="str">
            <v>Baidi</v>
          </cell>
          <cell r="M70" t="str">
            <v>3529110304800007</v>
          </cell>
          <cell r="N70" t="str">
            <v>Sulaimmah</v>
          </cell>
          <cell r="O70" t="str">
            <v>3529114907790003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15"/>
  <sheetViews>
    <sheetView tabSelected="1" zoomScaleNormal="100" workbookViewId="0">
      <selection activeCell="B73" sqref="B73"/>
    </sheetView>
  </sheetViews>
  <sheetFormatPr defaultRowHeight="15" x14ac:dyDescent="0.25"/>
  <cols>
    <col min="1" max="1" width="5.7109375" customWidth="1"/>
    <col min="2" max="2" width="33" customWidth="1"/>
    <col min="3" max="3" width="12.42578125" customWidth="1"/>
    <col min="4" max="4" width="5.7109375" customWidth="1"/>
    <col min="5" max="5" width="18.85546875" customWidth="1"/>
    <col min="6" max="6" width="22.28515625" customWidth="1"/>
    <col min="7" max="7" width="14.5703125" customWidth="1"/>
    <col min="8" max="8" width="13" customWidth="1"/>
    <col min="9" max="9" width="6" customWidth="1"/>
    <col min="10" max="10" width="21.7109375" style="13" customWidth="1"/>
    <col min="11" max="11" width="19.7109375" customWidth="1"/>
    <col min="12" max="12" width="20.28515625" customWidth="1"/>
    <col min="13" max="13" width="18.85546875" style="15" customWidth="1"/>
    <col min="14" max="14" width="17.7109375" customWidth="1"/>
    <col min="15" max="15" width="20.28515625" customWidth="1"/>
  </cols>
  <sheetData>
    <row r="1" spans="1:15" ht="20.25" customHeight="1" x14ac:dyDescent="0.25">
      <c r="A1" s="61" t="s">
        <v>683</v>
      </c>
      <c r="B1" s="62"/>
      <c r="C1" s="62"/>
      <c r="D1" s="63"/>
      <c r="F1" s="6"/>
    </row>
    <row r="2" spans="1:15" ht="15.75" x14ac:dyDescent="0.25">
      <c r="A2" s="64" t="s">
        <v>335</v>
      </c>
      <c r="B2" s="65"/>
      <c r="C2" s="24" t="s">
        <v>11</v>
      </c>
      <c r="D2" s="37">
        <f>COUNTIF(D6:D99,"L")</f>
        <v>51</v>
      </c>
      <c r="E2" s="36">
        <f>D2+D3</f>
        <v>94</v>
      </c>
      <c r="F2" s="6"/>
    </row>
    <row r="3" spans="1:15" ht="15" customHeight="1" x14ac:dyDescent="0.25">
      <c r="A3" s="66"/>
      <c r="B3" s="67"/>
      <c r="C3" s="24" t="s">
        <v>12</v>
      </c>
      <c r="D3" s="37">
        <f>COUNTIF(D6:D99,"P")</f>
        <v>43</v>
      </c>
      <c r="F3" s="6"/>
    </row>
    <row r="4" spans="1:15" x14ac:dyDescent="0.25">
      <c r="A4" s="68" t="s">
        <v>1</v>
      </c>
      <c r="B4" s="69" t="s">
        <v>14</v>
      </c>
      <c r="C4" s="69"/>
      <c r="D4" s="69"/>
      <c r="E4" s="69"/>
      <c r="F4" s="69"/>
      <c r="G4" s="69"/>
      <c r="H4" s="69"/>
      <c r="I4" s="69"/>
      <c r="J4" s="27"/>
      <c r="K4" s="70" t="s">
        <v>23</v>
      </c>
      <c r="L4" s="71"/>
      <c r="M4" s="71"/>
      <c r="N4" s="71"/>
      <c r="O4" s="72"/>
    </row>
    <row r="5" spans="1:15" s="1" customFormat="1" ht="20.100000000000001" customHeight="1" x14ac:dyDescent="0.25">
      <c r="A5" s="68"/>
      <c r="B5" s="26" t="s">
        <v>2</v>
      </c>
      <c r="C5" s="26" t="s">
        <v>6</v>
      </c>
      <c r="D5" s="26" t="s">
        <v>10</v>
      </c>
      <c r="E5" s="26" t="s">
        <v>13</v>
      </c>
      <c r="F5" s="26" t="s">
        <v>4</v>
      </c>
      <c r="G5" s="26" t="s">
        <v>7</v>
      </c>
      <c r="H5" s="26" t="s">
        <v>9</v>
      </c>
      <c r="I5" s="26" t="s">
        <v>3</v>
      </c>
      <c r="J5" s="12" t="s">
        <v>74</v>
      </c>
      <c r="K5" s="4" t="s">
        <v>22</v>
      </c>
      <c r="L5" s="4" t="s">
        <v>26</v>
      </c>
      <c r="M5" s="4" t="s">
        <v>24</v>
      </c>
      <c r="N5" s="4" t="s">
        <v>27</v>
      </c>
      <c r="O5" s="4" t="s">
        <v>25</v>
      </c>
    </row>
    <row r="6" spans="1:15" s="1" customFormat="1" ht="15" customHeight="1" x14ac:dyDescent="0.25">
      <c r="A6" s="47">
        <v>1</v>
      </c>
      <c r="B6" s="48" t="s">
        <v>717</v>
      </c>
      <c r="C6" s="49" t="s">
        <v>728</v>
      </c>
      <c r="D6" s="47" t="s">
        <v>11</v>
      </c>
      <c r="E6" s="49" t="s">
        <v>738</v>
      </c>
      <c r="F6" s="49" t="s">
        <v>684</v>
      </c>
      <c r="G6" s="47" t="s">
        <v>8</v>
      </c>
      <c r="H6" s="50">
        <v>43196</v>
      </c>
      <c r="I6" s="47">
        <v>1</v>
      </c>
      <c r="J6" s="48" t="s">
        <v>75</v>
      </c>
      <c r="K6" s="51" t="s">
        <v>748</v>
      </c>
      <c r="L6" s="52" t="s">
        <v>749</v>
      </c>
      <c r="M6" s="51" t="s">
        <v>750</v>
      </c>
      <c r="N6" s="52" t="s">
        <v>751</v>
      </c>
      <c r="O6" s="53" t="s">
        <v>752</v>
      </c>
    </row>
    <row r="7" spans="1:15" s="1" customFormat="1" ht="15" customHeight="1" x14ac:dyDescent="0.25">
      <c r="A7" s="47">
        <v>2</v>
      </c>
      <c r="B7" s="48" t="s">
        <v>718</v>
      </c>
      <c r="C7" s="49" t="s">
        <v>729</v>
      </c>
      <c r="D7" s="47" t="s">
        <v>12</v>
      </c>
      <c r="E7" s="49" t="s">
        <v>739</v>
      </c>
      <c r="F7" s="49" t="s">
        <v>685</v>
      </c>
      <c r="G7" s="47" t="s">
        <v>8</v>
      </c>
      <c r="H7" s="50">
        <v>43150</v>
      </c>
      <c r="I7" s="47">
        <v>1</v>
      </c>
      <c r="J7" s="48" t="s">
        <v>262</v>
      </c>
      <c r="K7" s="51" t="s">
        <v>753</v>
      </c>
      <c r="L7" s="54" t="s">
        <v>754</v>
      </c>
      <c r="M7" s="51" t="s">
        <v>755</v>
      </c>
      <c r="N7" s="52" t="s">
        <v>756</v>
      </c>
      <c r="O7" s="54" t="s">
        <v>757</v>
      </c>
    </row>
    <row r="8" spans="1:15" s="1" customFormat="1" ht="15" customHeight="1" x14ac:dyDescent="0.25">
      <c r="A8" s="47">
        <v>3</v>
      </c>
      <c r="B8" s="48" t="s">
        <v>719</v>
      </c>
      <c r="C8" s="49" t="s">
        <v>730</v>
      </c>
      <c r="D8" s="47" t="s">
        <v>12</v>
      </c>
      <c r="E8" s="49" t="s">
        <v>740</v>
      </c>
      <c r="F8" s="49" t="s">
        <v>686</v>
      </c>
      <c r="G8" s="47" t="s">
        <v>8</v>
      </c>
      <c r="H8" s="50">
        <v>43404</v>
      </c>
      <c r="I8" s="47">
        <v>1</v>
      </c>
      <c r="J8" s="48" t="s">
        <v>261</v>
      </c>
      <c r="K8" s="51" t="s">
        <v>758</v>
      </c>
      <c r="L8" s="52" t="s">
        <v>759</v>
      </c>
      <c r="M8" s="51" t="s">
        <v>760</v>
      </c>
      <c r="N8" s="52" t="s">
        <v>761</v>
      </c>
      <c r="O8" s="54" t="s">
        <v>762</v>
      </c>
    </row>
    <row r="9" spans="1:15" s="1" customFormat="1" ht="15" customHeight="1" x14ac:dyDescent="0.25">
      <c r="A9" s="47">
        <v>4</v>
      </c>
      <c r="B9" s="48" t="s">
        <v>720</v>
      </c>
      <c r="C9" s="49" t="s">
        <v>731</v>
      </c>
      <c r="D9" s="47" t="s">
        <v>12</v>
      </c>
      <c r="E9" s="47" t="s">
        <v>741</v>
      </c>
      <c r="F9" s="49" t="s">
        <v>687</v>
      </c>
      <c r="G9" s="47" t="s">
        <v>43</v>
      </c>
      <c r="H9" s="50">
        <v>43448</v>
      </c>
      <c r="I9" s="47">
        <v>1</v>
      </c>
      <c r="J9" s="48" t="s">
        <v>261</v>
      </c>
      <c r="K9" s="51" t="s">
        <v>789</v>
      </c>
      <c r="L9" s="52" t="s">
        <v>790</v>
      </c>
      <c r="M9" s="51" t="s">
        <v>791</v>
      </c>
      <c r="N9" s="52" t="s">
        <v>792</v>
      </c>
      <c r="O9" s="52"/>
    </row>
    <row r="10" spans="1:15" s="1" customFormat="1" ht="15" customHeight="1" x14ac:dyDescent="0.25">
      <c r="A10" s="47">
        <v>5</v>
      </c>
      <c r="B10" s="48" t="s">
        <v>721</v>
      </c>
      <c r="C10" s="49" t="s">
        <v>732</v>
      </c>
      <c r="D10" s="47" t="s">
        <v>11</v>
      </c>
      <c r="E10" s="49" t="s">
        <v>742</v>
      </c>
      <c r="F10" s="49" t="s">
        <v>688</v>
      </c>
      <c r="G10" s="47" t="s">
        <v>8</v>
      </c>
      <c r="H10" s="50">
        <v>43416</v>
      </c>
      <c r="I10" s="47">
        <v>1</v>
      </c>
      <c r="J10" s="48" t="s">
        <v>75</v>
      </c>
      <c r="K10" s="51" t="s">
        <v>763</v>
      </c>
      <c r="L10" s="52" t="s">
        <v>33</v>
      </c>
      <c r="M10" s="51" t="s">
        <v>34</v>
      </c>
      <c r="N10" s="52" t="s">
        <v>35</v>
      </c>
      <c r="O10" s="54" t="s">
        <v>36</v>
      </c>
    </row>
    <row r="11" spans="1:15" s="1" customFormat="1" ht="15" customHeight="1" x14ac:dyDescent="0.25">
      <c r="A11" s="47">
        <v>6</v>
      </c>
      <c r="B11" s="48" t="s">
        <v>796</v>
      </c>
      <c r="C11" s="49" t="s">
        <v>830</v>
      </c>
      <c r="D11" s="47" t="s">
        <v>11</v>
      </c>
      <c r="E11" s="49" t="s">
        <v>803</v>
      </c>
      <c r="F11" s="49" t="s">
        <v>689</v>
      </c>
      <c r="G11" s="47" t="s">
        <v>8</v>
      </c>
      <c r="H11" s="50">
        <v>43715</v>
      </c>
      <c r="I11" s="47">
        <v>1</v>
      </c>
      <c r="J11" s="48" t="s">
        <v>78</v>
      </c>
      <c r="K11" s="51" t="s">
        <v>817</v>
      </c>
      <c r="L11" s="52" t="s">
        <v>818</v>
      </c>
      <c r="M11" s="51" t="s">
        <v>819</v>
      </c>
      <c r="N11" s="52" t="s">
        <v>820</v>
      </c>
      <c r="O11" s="54" t="s">
        <v>821</v>
      </c>
    </row>
    <row r="12" spans="1:15" s="1" customFormat="1" ht="15" customHeight="1" x14ac:dyDescent="0.25">
      <c r="A12" s="47">
        <v>7</v>
      </c>
      <c r="B12" s="57" t="s">
        <v>801</v>
      </c>
      <c r="C12" s="49" t="s">
        <v>800</v>
      </c>
      <c r="D12" s="47" t="s">
        <v>11</v>
      </c>
      <c r="E12" s="49" t="s">
        <v>813</v>
      </c>
      <c r="F12" s="49" t="s">
        <v>690</v>
      </c>
      <c r="G12" s="47" t="s">
        <v>8</v>
      </c>
      <c r="H12" s="50">
        <v>43227</v>
      </c>
      <c r="I12" s="47">
        <v>1</v>
      </c>
      <c r="J12" s="48" t="s">
        <v>116</v>
      </c>
      <c r="K12" s="51" t="s">
        <v>822</v>
      </c>
      <c r="L12" s="52" t="s">
        <v>823</v>
      </c>
      <c r="M12" s="51" t="s">
        <v>824</v>
      </c>
      <c r="N12" s="52" t="s">
        <v>825</v>
      </c>
      <c r="O12" s="54" t="s">
        <v>826</v>
      </c>
    </row>
    <row r="13" spans="1:15" s="1" customFormat="1" ht="15" customHeight="1" x14ac:dyDescent="0.25">
      <c r="A13" s="47">
        <v>8</v>
      </c>
      <c r="B13" s="48" t="s">
        <v>722</v>
      </c>
      <c r="C13" s="49" t="s">
        <v>733</v>
      </c>
      <c r="D13" s="47" t="s">
        <v>11</v>
      </c>
      <c r="E13" s="47" t="s">
        <v>743</v>
      </c>
      <c r="F13" s="49" t="s">
        <v>691</v>
      </c>
      <c r="G13" s="47" t="s">
        <v>8</v>
      </c>
      <c r="H13" s="50">
        <v>43455</v>
      </c>
      <c r="I13" s="47">
        <v>1</v>
      </c>
      <c r="J13" s="48" t="s">
        <v>78</v>
      </c>
      <c r="K13" s="51" t="s">
        <v>764</v>
      </c>
      <c r="L13" s="52" t="s">
        <v>765</v>
      </c>
      <c r="M13" s="51" t="s">
        <v>766</v>
      </c>
      <c r="N13" s="52" t="s">
        <v>767</v>
      </c>
      <c r="O13" s="54" t="s">
        <v>768</v>
      </c>
    </row>
    <row r="14" spans="1:15" s="1" customFormat="1" ht="15" customHeight="1" x14ac:dyDescent="0.25">
      <c r="A14" s="47">
        <v>9</v>
      </c>
      <c r="B14" s="57" t="s">
        <v>723</v>
      </c>
      <c r="C14" s="49" t="s">
        <v>797</v>
      </c>
      <c r="D14" s="47" t="s">
        <v>11</v>
      </c>
      <c r="E14" s="47" t="s">
        <v>804</v>
      </c>
      <c r="F14" s="49" t="s">
        <v>692</v>
      </c>
      <c r="G14" s="47" t="s">
        <v>8</v>
      </c>
      <c r="H14" s="50">
        <v>43341</v>
      </c>
      <c r="I14" s="47">
        <v>1</v>
      </c>
      <c r="J14" s="48" t="s">
        <v>134</v>
      </c>
      <c r="K14" s="51" t="s">
        <v>805</v>
      </c>
      <c r="L14" s="52" t="s">
        <v>806</v>
      </c>
      <c r="M14" s="51" t="s">
        <v>807</v>
      </c>
      <c r="N14" s="52" t="s">
        <v>808</v>
      </c>
      <c r="O14" s="54" t="s">
        <v>809</v>
      </c>
    </row>
    <row r="15" spans="1:15" s="1" customFormat="1" ht="15" customHeight="1" x14ac:dyDescent="0.25">
      <c r="A15" s="47">
        <v>10</v>
      </c>
      <c r="B15" s="48" t="s">
        <v>724</v>
      </c>
      <c r="C15" s="49" t="s">
        <v>734</v>
      </c>
      <c r="D15" s="47" t="s">
        <v>11</v>
      </c>
      <c r="E15" s="49" t="s">
        <v>744</v>
      </c>
      <c r="F15" s="49" t="s">
        <v>693</v>
      </c>
      <c r="G15" s="47" t="s">
        <v>8</v>
      </c>
      <c r="H15" s="50">
        <v>43276</v>
      </c>
      <c r="I15" s="47">
        <v>1</v>
      </c>
      <c r="J15" s="48" t="s">
        <v>78</v>
      </c>
      <c r="K15" s="51" t="s">
        <v>769</v>
      </c>
      <c r="L15" s="52" t="s">
        <v>770</v>
      </c>
      <c r="M15" s="51" t="s">
        <v>771</v>
      </c>
      <c r="N15" s="52" t="s">
        <v>772</v>
      </c>
      <c r="O15" s="54" t="s">
        <v>773</v>
      </c>
    </row>
    <row r="16" spans="1:15" s="1" customFormat="1" ht="15" customHeight="1" x14ac:dyDescent="0.25">
      <c r="A16" s="47">
        <v>11</v>
      </c>
      <c r="B16" s="57" t="s">
        <v>725</v>
      </c>
      <c r="C16" s="49" t="s">
        <v>798</v>
      </c>
      <c r="D16" s="47" t="s">
        <v>11</v>
      </c>
      <c r="E16" s="47" t="s">
        <v>810</v>
      </c>
      <c r="F16" s="49" t="s">
        <v>694</v>
      </c>
      <c r="G16" s="47" t="s">
        <v>8</v>
      </c>
      <c r="H16" s="50">
        <v>42966</v>
      </c>
      <c r="I16" s="47">
        <v>1</v>
      </c>
      <c r="J16" s="48" t="s">
        <v>116</v>
      </c>
      <c r="K16" s="51" t="s">
        <v>811</v>
      </c>
      <c r="L16" s="52" t="s">
        <v>155</v>
      </c>
      <c r="M16" s="51" t="s">
        <v>812</v>
      </c>
      <c r="N16" s="52" t="s">
        <v>814</v>
      </c>
      <c r="O16" s="54" t="s">
        <v>815</v>
      </c>
    </row>
    <row r="17" spans="1:15" s="1" customFormat="1" ht="15" customHeight="1" x14ac:dyDescent="0.25">
      <c r="A17" s="47">
        <v>12</v>
      </c>
      <c r="B17" s="48" t="s">
        <v>5</v>
      </c>
      <c r="C17" s="49" t="s">
        <v>735</v>
      </c>
      <c r="D17" s="47" t="s">
        <v>12</v>
      </c>
      <c r="E17" s="49" t="s">
        <v>745</v>
      </c>
      <c r="F17" s="49" t="s">
        <v>716</v>
      </c>
      <c r="G17" s="47" t="s">
        <v>8</v>
      </c>
      <c r="H17" s="50">
        <v>43236</v>
      </c>
      <c r="I17" s="47">
        <v>1</v>
      </c>
      <c r="J17" s="55" t="s">
        <v>78</v>
      </c>
      <c r="K17" s="51" t="s">
        <v>774</v>
      </c>
      <c r="L17" s="52" t="s">
        <v>775</v>
      </c>
      <c r="M17" s="51" t="s">
        <v>776</v>
      </c>
      <c r="N17" s="52" t="s">
        <v>777</v>
      </c>
      <c r="O17" s="54" t="s">
        <v>778</v>
      </c>
    </row>
    <row r="18" spans="1:15" s="1" customFormat="1" ht="15" customHeight="1" x14ac:dyDescent="0.25">
      <c r="A18" s="47">
        <v>13</v>
      </c>
      <c r="B18" s="57" t="s">
        <v>793</v>
      </c>
      <c r="C18" s="49" t="s">
        <v>799</v>
      </c>
      <c r="D18" s="47" t="s">
        <v>12</v>
      </c>
      <c r="E18" s="49" t="s">
        <v>816</v>
      </c>
      <c r="F18" s="49" t="s">
        <v>794</v>
      </c>
      <c r="G18" s="47" t="s">
        <v>8</v>
      </c>
      <c r="H18" s="50">
        <v>43204</v>
      </c>
      <c r="I18" s="47">
        <v>1</v>
      </c>
      <c r="J18" s="48" t="s">
        <v>134</v>
      </c>
      <c r="K18" s="51" t="s">
        <v>137</v>
      </c>
      <c r="L18" s="52" t="s">
        <v>138</v>
      </c>
      <c r="M18" s="51" t="s">
        <v>139</v>
      </c>
      <c r="N18" s="52" t="s">
        <v>140</v>
      </c>
      <c r="O18" s="54" t="s">
        <v>141</v>
      </c>
    </row>
    <row r="19" spans="1:15" s="1" customFormat="1" ht="15" customHeight="1" x14ac:dyDescent="0.25">
      <c r="A19" s="47">
        <v>14</v>
      </c>
      <c r="B19" s="48" t="s">
        <v>726</v>
      </c>
      <c r="C19" s="49" t="s">
        <v>736</v>
      </c>
      <c r="D19" s="47" t="s">
        <v>12</v>
      </c>
      <c r="E19" s="49" t="s">
        <v>746</v>
      </c>
      <c r="F19" s="49" t="s">
        <v>795</v>
      </c>
      <c r="G19" s="47" t="s">
        <v>8</v>
      </c>
      <c r="H19" s="50">
        <v>43361</v>
      </c>
      <c r="I19" s="47">
        <v>1</v>
      </c>
      <c r="J19" s="48" t="s">
        <v>75</v>
      </c>
      <c r="K19" s="51" t="s">
        <v>779</v>
      </c>
      <c r="L19" s="52" t="s">
        <v>780</v>
      </c>
      <c r="M19" s="51" t="s">
        <v>781</v>
      </c>
      <c r="N19" s="52" t="s">
        <v>782</v>
      </c>
      <c r="O19" s="54" t="s">
        <v>783</v>
      </c>
    </row>
    <row r="20" spans="1:15" s="1" customFormat="1" ht="15" customHeight="1" x14ac:dyDescent="0.25">
      <c r="A20" s="47">
        <v>15</v>
      </c>
      <c r="B20" s="48" t="s">
        <v>727</v>
      </c>
      <c r="C20" s="49" t="s">
        <v>737</v>
      </c>
      <c r="D20" s="47" t="s">
        <v>12</v>
      </c>
      <c r="E20" s="49" t="s">
        <v>747</v>
      </c>
      <c r="F20" s="49" t="s">
        <v>802</v>
      </c>
      <c r="G20" s="47" t="s">
        <v>8</v>
      </c>
      <c r="H20" s="50">
        <v>43392</v>
      </c>
      <c r="I20" s="47">
        <v>1</v>
      </c>
      <c r="J20" s="48" t="s">
        <v>261</v>
      </c>
      <c r="K20" s="51" t="s">
        <v>784</v>
      </c>
      <c r="L20" s="52" t="s">
        <v>785</v>
      </c>
      <c r="M20" s="51" t="s">
        <v>786</v>
      </c>
      <c r="N20" s="52" t="s">
        <v>787</v>
      </c>
      <c r="O20" s="54" t="s">
        <v>788</v>
      </c>
    </row>
    <row r="21" spans="1:15" s="1" customFormat="1" ht="15" customHeight="1" x14ac:dyDescent="0.25">
      <c r="A21" s="47">
        <v>16</v>
      </c>
      <c r="B21" s="39" t="s">
        <v>588</v>
      </c>
      <c r="C21" s="40" t="s">
        <v>602</v>
      </c>
      <c r="D21" s="38" t="s">
        <v>12</v>
      </c>
      <c r="E21" s="40" t="s">
        <v>610</v>
      </c>
      <c r="F21" s="40" t="s">
        <v>618</v>
      </c>
      <c r="G21" s="38" t="s">
        <v>8</v>
      </c>
      <c r="H21" s="41">
        <v>42993</v>
      </c>
      <c r="I21" s="38">
        <v>2</v>
      </c>
      <c r="J21" s="39" t="s">
        <v>78</v>
      </c>
      <c r="K21" s="42" t="s">
        <v>631</v>
      </c>
      <c r="L21" s="43" t="s">
        <v>632</v>
      </c>
      <c r="M21" s="42" t="s">
        <v>633</v>
      </c>
      <c r="N21" s="43" t="s">
        <v>634</v>
      </c>
      <c r="O21" s="46" t="s">
        <v>635</v>
      </c>
    </row>
    <row r="22" spans="1:15" s="1" customFormat="1" ht="15" customHeight="1" x14ac:dyDescent="0.25">
      <c r="A22" s="47">
        <v>17</v>
      </c>
      <c r="B22" s="39" t="s">
        <v>166</v>
      </c>
      <c r="C22" s="40" t="s">
        <v>603</v>
      </c>
      <c r="D22" s="38" t="s">
        <v>12</v>
      </c>
      <c r="E22" s="40" t="s">
        <v>611</v>
      </c>
      <c r="F22" s="40" t="s">
        <v>619</v>
      </c>
      <c r="G22" s="38" t="s">
        <v>8</v>
      </c>
      <c r="H22" s="41">
        <v>43163</v>
      </c>
      <c r="I22" s="38">
        <v>2</v>
      </c>
      <c r="J22" s="39" t="s">
        <v>262</v>
      </c>
      <c r="K22" s="42" t="s">
        <v>28</v>
      </c>
      <c r="L22" s="44" t="s">
        <v>29</v>
      </c>
      <c r="M22" s="42" t="s">
        <v>30</v>
      </c>
      <c r="N22" s="43" t="s">
        <v>31</v>
      </c>
      <c r="O22" s="44" t="s">
        <v>32</v>
      </c>
    </row>
    <row r="23" spans="1:15" s="1" customFormat="1" ht="15" customHeight="1" x14ac:dyDescent="0.25">
      <c r="A23" s="47">
        <v>18</v>
      </c>
      <c r="B23" s="39" t="s">
        <v>589</v>
      </c>
      <c r="C23" s="40" t="s">
        <v>604</v>
      </c>
      <c r="D23" s="38" t="s">
        <v>12</v>
      </c>
      <c r="E23" s="40" t="s">
        <v>612</v>
      </c>
      <c r="F23" s="40" t="s">
        <v>620</v>
      </c>
      <c r="G23" s="38" t="s">
        <v>8</v>
      </c>
      <c r="H23" s="41">
        <v>43065</v>
      </c>
      <c r="I23" s="38">
        <v>2</v>
      </c>
      <c r="J23" s="39" t="s">
        <v>262</v>
      </c>
      <c r="K23" s="42" t="s">
        <v>636</v>
      </c>
      <c r="L23" s="43" t="s">
        <v>637</v>
      </c>
      <c r="M23" s="42" t="s">
        <v>638</v>
      </c>
      <c r="N23" s="43" t="s">
        <v>205</v>
      </c>
      <c r="O23" s="44" t="s">
        <v>639</v>
      </c>
    </row>
    <row r="24" spans="1:15" s="1" customFormat="1" ht="15" customHeight="1" x14ac:dyDescent="0.25">
      <c r="A24" s="47">
        <v>19</v>
      </c>
      <c r="B24" s="57" t="s">
        <v>653</v>
      </c>
      <c r="C24" s="40" t="s">
        <v>596</v>
      </c>
      <c r="D24" s="38" t="s">
        <v>11</v>
      </c>
      <c r="E24" s="38" t="s">
        <v>642</v>
      </c>
      <c r="F24" s="40" t="s">
        <v>621</v>
      </c>
      <c r="G24" s="38" t="s">
        <v>8</v>
      </c>
      <c r="H24" s="45">
        <v>42856</v>
      </c>
      <c r="I24" s="38">
        <v>2</v>
      </c>
      <c r="J24" s="39" t="s">
        <v>143</v>
      </c>
      <c r="K24" s="42" t="s">
        <v>695</v>
      </c>
      <c r="L24" s="43" t="s">
        <v>697</v>
      </c>
      <c r="M24" s="56" t="s">
        <v>696</v>
      </c>
      <c r="N24" s="44" t="s">
        <v>699</v>
      </c>
      <c r="O24" s="43" t="s">
        <v>698</v>
      </c>
    </row>
    <row r="25" spans="1:15" s="1" customFormat="1" ht="15" customHeight="1" x14ac:dyDescent="0.25">
      <c r="A25" s="47">
        <v>20</v>
      </c>
      <c r="B25" s="39" t="s">
        <v>590</v>
      </c>
      <c r="C25" s="40" t="s">
        <v>605</v>
      </c>
      <c r="D25" s="38" t="s">
        <v>12</v>
      </c>
      <c r="E25" s="40" t="s">
        <v>613</v>
      </c>
      <c r="F25" s="40" t="s">
        <v>622</v>
      </c>
      <c r="G25" s="38" t="s">
        <v>8</v>
      </c>
      <c r="H25" s="41">
        <v>42909</v>
      </c>
      <c r="I25" s="38">
        <v>2</v>
      </c>
      <c r="J25" s="39" t="s">
        <v>129</v>
      </c>
      <c r="K25" s="42" t="s">
        <v>130</v>
      </c>
      <c r="L25" s="43" t="s">
        <v>640</v>
      </c>
      <c r="M25" s="42" t="s">
        <v>132</v>
      </c>
      <c r="N25" s="43" t="s">
        <v>641</v>
      </c>
      <c r="O25" s="44" t="s">
        <v>150</v>
      </c>
    </row>
    <row r="26" spans="1:15" s="1" customFormat="1" ht="15" customHeight="1" x14ac:dyDescent="0.25">
      <c r="A26" s="47">
        <v>21</v>
      </c>
      <c r="B26" s="57" t="s">
        <v>597</v>
      </c>
      <c r="C26" s="40" t="s">
        <v>598</v>
      </c>
      <c r="D26" s="38" t="s">
        <v>12</v>
      </c>
      <c r="E26" s="38" t="s">
        <v>643</v>
      </c>
      <c r="F26" s="40" t="s">
        <v>623</v>
      </c>
      <c r="G26" s="38" t="s">
        <v>8</v>
      </c>
      <c r="H26" s="45">
        <v>42797</v>
      </c>
      <c r="I26" s="38">
        <v>2</v>
      </c>
      <c r="J26" s="39" t="s">
        <v>116</v>
      </c>
      <c r="K26" s="42" t="s">
        <v>705</v>
      </c>
      <c r="L26" s="43" t="s">
        <v>700</v>
      </c>
      <c r="M26" s="42" t="s">
        <v>701</v>
      </c>
      <c r="N26" s="43" t="s">
        <v>703</v>
      </c>
      <c r="O26" s="44" t="s">
        <v>702</v>
      </c>
    </row>
    <row r="27" spans="1:15" s="1" customFormat="1" ht="15" customHeight="1" x14ac:dyDescent="0.25">
      <c r="A27" s="47">
        <v>22</v>
      </c>
      <c r="B27" s="57" t="s">
        <v>595</v>
      </c>
      <c r="C27" s="40" t="s">
        <v>599</v>
      </c>
      <c r="D27" s="38" t="s">
        <v>12</v>
      </c>
      <c r="E27" s="38" t="s">
        <v>644</v>
      </c>
      <c r="F27" s="40" t="s">
        <v>624</v>
      </c>
      <c r="G27" s="38" t="s">
        <v>8</v>
      </c>
      <c r="H27" s="45">
        <v>43018</v>
      </c>
      <c r="I27" s="38">
        <v>2</v>
      </c>
      <c r="J27" s="39" t="s">
        <v>116</v>
      </c>
      <c r="K27" s="42" t="s">
        <v>647</v>
      </c>
      <c r="L27" s="43" t="s">
        <v>648</v>
      </c>
      <c r="M27" s="42" t="s">
        <v>649</v>
      </c>
      <c r="N27" s="43" t="s">
        <v>650</v>
      </c>
      <c r="O27" s="44" t="s">
        <v>651</v>
      </c>
    </row>
    <row r="28" spans="1:15" s="1" customFormat="1" ht="15" customHeight="1" x14ac:dyDescent="0.25">
      <c r="A28" s="47">
        <v>23</v>
      </c>
      <c r="B28" s="39" t="s">
        <v>591</v>
      </c>
      <c r="C28" s="40" t="s">
        <v>606</v>
      </c>
      <c r="D28" s="38" t="s">
        <v>11</v>
      </c>
      <c r="E28" s="40" t="s">
        <v>614</v>
      </c>
      <c r="F28" s="40" t="s">
        <v>625</v>
      </c>
      <c r="G28" s="38" t="s">
        <v>8</v>
      </c>
      <c r="H28" s="41">
        <v>42850</v>
      </c>
      <c r="I28" s="38">
        <v>2</v>
      </c>
      <c r="J28" s="39" t="s">
        <v>663</v>
      </c>
      <c r="K28" s="42" t="s">
        <v>662</v>
      </c>
      <c r="L28" s="43" t="s">
        <v>664</v>
      </c>
      <c r="M28" s="42" t="s">
        <v>665</v>
      </c>
      <c r="N28" s="43" t="s">
        <v>704</v>
      </c>
      <c r="O28" s="44" t="s">
        <v>666</v>
      </c>
    </row>
    <row r="29" spans="1:15" s="1" customFormat="1" ht="15" customHeight="1" x14ac:dyDescent="0.25">
      <c r="A29" s="47">
        <v>24</v>
      </c>
      <c r="B29" s="57" t="s">
        <v>594</v>
      </c>
      <c r="C29" s="40" t="s">
        <v>600</v>
      </c>
      <c r="D29" s="38" t="s">
        <v>12</v>
      </c>
      <c r="E29" s="38" t="s">
        <v>645</v>
      </c>
      <c r="F29" s="40" t="s">
        <v>626</v>
      </c>
      <c r="G29" s="38" t="s">
        <v>8</v>
      </c>
      <c r="H29" s="45">
        <v>43054</v>
      </c>
      <c r="I29" s="38">
        <v>2</v>
      </c>
      <c r="J29" s="39" t="s">
        <v>116</v>
      </c>
      <c r="K29" s="42" t="s">
        <v>706</v>
      </c>
      <c r="L29" s="43" t="s">
        <v>707</v>
      </c>
      <c r="M29" s="42" t="s">
        <v>708</v>
      </c>
      <c r="N29" s="43" t="s">
        <v>710</v>
      </c>
      <c r="O29" s="44" t="s">
        <v>709</v>
      </c>
    </row>
    <row r="30" spans="1:15" s="1" customFormat="1" ht="15" customHeight="1" x14ac:dyDescent="0.25">
      <c r="A30" s="47">
        <v>25</v>
      </c>
      <c r="B30" s="39" t="s">
        <v>592</v>
      </c>
      <c r="C30" s="40" t="s">
        <v>607</v>
      </c>
      <c r="D30" s="38" t="s">
        <v>11</v>
      </c>
      <c r="E30" s="40" t="s">
        <v>615</v>
      </c>
      <c r="F30" s="40" t="s">
        <v>627</v>
      </c>
      <c r="G30" s="38" t="s">
        <v>8</v>
      </c>
      <c r="H30" s="41">
        <v>42926</v>
      </c>
      <c r="I30" s="38">
        <v>2</v>
      </c>
      <c r="J30" s="39" t="s">
        <v>75</v>
      </c>
      <c r="K30" s="42" t="s">
        <v>667</v>
      </c>
      <c r="L30" s="43" t="s">
        <v>668</v>
      </c>
      <c r="M30" s="42" t="s">
        <v>669</v>
      </c>
      <c r="N30" s="43" t="s">
        <v>670</v>
      </c>
      <c r="O30" s="44" t="s">
        <v>671</v>
      </c>
    </row>
    <row r="31" spans="1:15" s="1" customFormat="1" ht="15" customHeight="1" x14ac:dyDescent="0.25">
      <c r="A31" s="47">
        <v>26</v>
      </c>
      <c r="B31" s="39" t="s">
        <v>593</v>
      </c>
      <c r="C31" s="40" t="s">
        <v>608</v>
      </c>
      <c r="D31" s="38" t="s">
        <v>11</v>
      </c>
      <c r="E31" s="40" t="s">
        <v>616</v>
      </c>
      <c r="F31" s="40" t="s">
        <v>628</v>
      </c>
      <c r="G31" s="38" t="s">
        <v>8</v>
      </c>
      <c r="H31" s="41">
        <v>43106</v>
      </c>
      <c r="I31" s="38">
        <v>2</v>
      </c>
      <c r="J31" s="39" t="s">
        <v>78</v>
      </c>
      <c r="K31" s="42" t="s">
        <v>672</v>
      </c>
      <c r="L31" s="43" t="s">
        <v>673</v>
      </c>
      <c r="M31" s="42" t="s">
        <v>674</v>
      </c>
      <c r="N31" s="43" t="s">
        <v>675</v>
      </c>
      <c r="O31" s="44" t="s">
        <v>676</v>
      </c>
    </row>
    <row r="32" spans="1:15" s="1" customFormat="1" ht="15" customHeight="1" x14ac:dyDescent="0.25">
      <c r="A32" s="47">
        <v>27</v>
      </c>
      <c r="B32" s="57" t="s">
        <v>652</v>
      </c>
      <c r="C32" s="40" t="s">
        <v>601</v>
      </c>
      <c r="D32" s="38" t="s">
        <v>11</v>
      </c>
      <c r="E32" s="38" t="s">
        <v>646</v>
      </c>
      <c r="F32" s="40" t="s">
        <v>629</v>
      </c>
      <c r="G32" s="38" t="s">
        <v>8</v>
      </c>
      <c r="H32" s="45">
        <v>42863</v>
      </c>
      <c r="I32" s="38">
        <v>2</v>
      </c>
      <c r="J32" s="39" t="s">
        <v>116</v>
      </c>
      <c r="K32" s="44" t="s">
        <v>711</v>
      </c>
      <c r="L32" s="44" t="s">
        <v>712</v>
      </c>
      <c r="M32" s="42" t="s">
        <v>713</v>
      </c>
      <c r="N32" s="43" t="s">
        <v>715</v>
      </c>
      <c r="O32" s="44" t="s">
        <v>714</v>
      </c>
    </row>
    <row r="33" spans="1:17" s="1" customFormat="1" ht="15" customHeight="1" x14ac:dyDescent="0.25">
      <c r="A33" s="47">
        <v>28</v>
      </c>
      <c r="B33" s="39" t="s">
        <v>0</v>
      </c>
      <c r="C33" s="40" t="s">
        <v>609</v>
      </c>
      <c r="D33" s="38" t="s">
        <v>11</v>
      </c>
      <c r="E33" s="40" t="s">
        <v>617</v>
      </c>
      <c r="F33" s="40" t="s">
        <v>630</v>
      </c>
      <c r="G33" s="38" t="s">
        <v>8</v>
      </c>
      <c r="H33" s="41">
        <v>43291</v>
      </c>
      <c r="I33" s="38">
        <v>2</v>
      </c>
      <c r="J33" s="39" t="s">
        <v>78</v>
      </c>
      <c r="K33" s="42" t="s">
        <v>677</v>
      </c>
      <c r="L33" s="43" t="s">
        <v>678</v>
      </c>
      <c r="M33" s="42" t="s">
        <v>679</v>
      </c>
      <c r="N33" s="43" t="s">
        <v>680</v>
      </c>
      <c r="O33" s="44" t="s">
        <v>681</v>
      </c>
    </row>
    <row r="34" spans="1:17" s="1" customFormat="1" ht="15" customHeight="1" x14ac:dyDescent="0.25">
      <c r="A34" s="47">
        <v>29</v>
      </c>
      <c r="B34" s="29" t="s">
        <v>379</v>
      </c>
      <c r="C34" s="30" t="s">
        <v>587</v>
      </c>
      <c r="D34" s="28" t="s">
        <v>11</v>
      </c>
      <c r="E34" s="30" t="s">
        <v>515</v>
      </c>
      <c r="F34" s="30" t="s">
        <v>483</v>
      </c>
      <c r="G34" s="28" t="s">
        <v>8</v>
      </c>
      <c r="H34" s="31">
        <v>42718</v>
      </c>
      <c r="I34" s="28">
        <v>3</v>
      </c>
      <c r="J34" s="29" t="s">
        <v>261</v>
      </c>
      <c r="K34" s="32" t="s">
        <v>537</v>
      </c>
      <c r="L34" s="33" t="s">
        <v>398</v>
      </c>
      <c r="M34" s="34" t="s">
        <v>535</v>
      </c>
      <c r="N34" s="33" t="s">
        <v>413</v>
      </c>
      <c r="O34" s="34" t="s">
        <v>536</v>
      </c>
    </row>
    <row r="35" spans="1:17" s="1" customFormat="1" ht="15" customHeight="1" x14ac:dyDescent="0.25">
      <c r="A35" s="47">
        <v>30</v>
      </c>
      <c r="B35" s="57" t="s">
        <v>476</v>
      </c>
      <c r="C35" s="28" t="s">
        <v>508</v>
      </c>
      <c r="D35" s="28" t="s">
        <v>11</v>
      </c>
      <c r="E35" s="30" t="s">
        <v>477</v>
      </c>
      <c r="F35" s="30" t="s">
        <v>484</v>
      </c>
      <c r="G35" s="28" t="s">
        <v>8</v>
      </c>
      <c r="H35" s="35">
        <v>42726</v>
      </c>
      <c r="I35" s="28">
        <v>3</v>
      </c>
      <c r="J35" s="29" t="s">
        <v>143</v>
      </c>
      <c r="K35" s="32" t="s">
        <v>478</v>
      </c>
      <c r="L35" s="33" t="s">
        <v>479</v>
      </c>
      <c r="M35" s="34" t="s">
        <v>480</v>
      </c>
      <c r="N35" s="33" t="s">
        <v>481</v>
      </c>
      <c r="O35" s="34" t="s">
        <v>482</v>
      </c>
      <c r="P35" s="1">
        <v>97</v>
      </c>
      <c r="Q35" s="1">
        <v>51</v>
      </c>
    </row>
    <row r="36" spans="1:17" s="1" customFormat="1" ht="15" customHeight="1" x14ac:dyDescent="0.25">
      <c r="A36" s="47">
        <v>31</v>
      </c>
      <c r="B36" s="57" t="s">
        <v>462</v>
      </c>
      <c r="C36" s="28" t="s">
        <v>509</v>
      </c>
      <c r="D36" s="28" t="s">
        <v>11</v>
      </c>
      <c r="E36" s="30" t="s">
        <v>463</v>
      </c>
      <c r="F36" s="30" t="s">
        <v>485</v>
      </c>
      <c r="G36" s="28" t="s">
        <v>8</v>
      </c>
      <c r="H36" s="35">
        <v>42303</v>
      </c>
      <c r="I36" s="28">
        <v>3</v>
      </c>
      <c r="J36" s="29" t="s">
        <v>116</v>
      </c>
      <c r="K36" s="32" t="s">
        <v>464</v>
      </c>
      <c r="L36" s="33" t="s">
        <v>465</v>
      </c>
      <c r="M36" s="34" t="s">
        <v>466</v>
      </c>
      <c r="N36" s="33" t="s">
        <v>467</v>
      </c>
      <c r="O36" s="34" t="s">
        <v>468</v>
      </c>
    </row>
    <row r="37" spans="1:17" s="1" customFormat="1" ht="15" customHeight="1" x14ac:dyDescent="0.25">
      <c r="A37" s="47">
        <v>32</v>
      </c>
      <c r="B37" s="29" t="s">
        <v>380</v>
      </c>
      <c r="C37" s="28">
        <v>3171383618</v>
      </c>
      <c r="D37" s="28" t="s">
        <v>11</v>
      </c>
      <c r="E37" s="30" t="s">
        <v>516</v>
      </c>
      <c r="F37" s="30" t="s">
        <v>486</v>
      </c>
      <c r="G37" s="28" t="s">
        <v>8</v>
      </c>
      <c r="H37" s="31">
        <v>42806</v>
      </c>
      <c r="I37" s="28">
        <v>3</v>
      </c>
      <c r="J37" s="29" t="s">
        <v>261</v>
      </c>
      <c r="K37" s="32" t="s">
        <v>538</v>
      </c>
      <c r="L37" s="33" t="s">
        <v>399</v>
      </c>
      <c r="M37" s="34" t="s">
        <v>539</v>
      </c>
      <c r="N37" s="33" t="s">
        <v>337</v>
      </c>
      <c r="O37" s="34" t="s">
        <v>540</v>
      </c>
      <c r="Q37" s="1">
        <f>P35-Q35</f>
        <v>46</v>
      </c>
    </row>
    <row r="38" spans="1:17" s="1" customFormat="1" ht="15" customHeight="1" x14ac:dyDescent="0.25">
      <c r="A38" s="47">
        <v>33</v>
      </c>
      <c r="B38" s="57" t="s">
        <v>441</v>
      </c>
      <c r="C38" s="28" t="s">
        <v>510</v>
      </c>
      <c r="D38" s="28" t="s">
        <v>11</v>
      </c>
      <c r="E38" s="30" t="s">
        <v>442</v>
      </c>
      <c r="F38" s="30" t="s">
        <v>487</v>
      </c>
      <c r="G38" s="28" t="s">
        <v>8</v>
      </c>
      <c r="H38" s="35">
        <v>42604</v>
      </c>
      <c r="I38" s="28">
        <v>3</v>
      </c>
      <c r="J38" s="29" t="s">
        <v>143</v>
      </c>
      <c r="K38" s="32" t="s">
        <v>443</v>
      </c>
      <c r="L38" s="33" t="s">
        <v>444</v>
      </c>
      <c r="M38" s="34" t="s">
        <v>445</v>
      </c>
      <c r="N38" s="33" t="s">
        <v>446</v>
      </c>
      <c r="O38" s="34" t="s">
        <v>447</v>
      </c>
    </row>
    <row r="39" spans="1:17" s="1" customFormat="1" ht="15" customHeight="1" x14ac:dyDescent="0.25">
      <c r="A39" s="47">
        <v>34</v>
      </c>
      <c r="B39" s="57" t="s">
        <v>469</v>
      </c>
      <c r="C39" s="28" t="s">
        <v>511</v>
      </c>
      <c r="D39" s="28" t="s">
        <v>11</v>
      </c>
      <c r="E39" s="30" t="s">
        <v>470</v>
      </c>
      <c r="F39" s="30" t="s">
        <v>488</v>
      </c>
      <c r="G39" s="28" t="s">
        <v>8</v>
      </c>
      <c r="H39" s="35">
        <v>42334</v>
      </c>
      <c r="I39" s="28">
        <v>3</v>
      </c>
      <c r="J39" s="29" t="s">
        <v>116</v>
      </c>
      <c r="K39" s="32" t="s">
        <v>471</v>
      </c>
      <c r="L39" s="33" t="s">
        <v>472</v>
      </c>
      <c r="M39" s="34" t="s">
        <v>473</v>
      </c>
      <c r="N39" s="33" t="s">
        <v>474</v>
      </c>
      <c r="O39" s="34" t="s">
        <v>475</v>
      </c>
    </row>
    <row r="40" spans="1:17" s="1" customFormat="1" ht="15" customHeight="1" x14ac:dyDescent="0.25">
      <c r="A40" s="47">
        <v>35</v>
      </c>
      <c r="B40" s="29" t="s">
        <v>381</v>
      </c>
      <c r="C40" s="28">
        <v>3170967489</v>
      </c>
      <c r="D40" s="28" t="s">
        <v>12</v>
      </c>
      <c r="E40" s="30" t="s">
        <v>517</v>
      </c>
      <c r="F40" s="30" t="s">
        <v>489</v>
      </c>
      <c r="G40" s="28" t="s">
        <v>8</v>
      </c>
      <c r="H40" s="31">
        <v>42841</v>
      </c>
      <c r="I40" s="28">
        <v>3</v>
      </c>
      <c r="J40" s="29" t="s">
        <v>262</v>
      </c>
      <c r="K40" s="32" t="s">
        <v>543</v>
      </c>
      <c r="L40" s="33" t="s">
        <v>400</v>
      </c>
      <c r="M40" s="34" t="s">
        <v>541</v>
      </c>
      <c r="N40" s="33" t="s">
        <v>414</v>
      </c>
      <c r="O40" s="34" t="s">
        <v>542</v>
      </c>
    </row>
    <row r="41" spans="1:17" s="1" customFormat="1" ht="15" customHeight="1" x14ac:dyDescent="0.25">
      <c r="A41" s="47">
        <v>36</v>
      </c>
      <c r="B41" s="29" t="s">
        <v>530</v>
      </c>
      <c r="C41" s="28">
        <v>3175320194</v>
      </c>
      <c r="D41" s="28" t="s">
        <v>12</v>
      </c>
      <c r="E41" s="30" t="s">
        <v>521</v>
      </c>
      <c r="F41" s="30" t="s">
        <v>490</v>
      </c>
      <c r="G41" s="28" t="s">
        <v>8</v>
      </c>
      <c r="H41" s="31">
        <v>42892</v>
      </c>
      <c r="I41" s="28">
        <v>3</v>
      </c>
      <c r="J41" s="29" t="s">
        <v>529</v>
      </c>
      <c r="K41" s="32" t="s">
        <v>544</v>
      </c>
      <c r="L41" s="33" t="s">
        <v>546</v>
      </c>
      <c r="M41" s="34" t="s">
        <v>545</v>
      </c>
      <c r="N41" s="33" t="s">
        <v>415</v>
      </c>
      <c r="O41" s="34" t="s">
        <v>547</v>
      </c>
    </row>
    <row r="42" spans="1:17" s="1" customFormat="1" ht="15" customHeight="1" x14ac:dyDescent="0.25">
      <c r="A42" s="47">
        <v>37</v>
      </c>
      <c r="B42" s="29" t="s">
        <v>382</v>
      </c>
      <c r="C42" s="28">
        <v>3178758620</v>
      </c>
      <c r="D42" s="28" t="s">
        <v>11</v>
      </c>
      <c r="E42" s="30" t="s">
        <v>519</v>
      </c>
      <c r="F42" s="30" t="s">
        <v>491</v>
      </c>
      <c r="G42" s="28" t="s">
        <v>8</v>
      </c>
      <c r="H42" s="31">
        <v>42756</v>
      </c>
      <c r="I42" s="28">
        <v>3</v>
      </c>
      <c r="J42" s="29" t="s">
        <v>262</v>
      </c>
      <c r="K42" s="32" t="s">
        <v>548</v>
      </c>
      <c r="L42" s="29" t="s">
        <v>401</v>
      </c>
      <c r="M42" s="34" t="s">
        <v>549</v>
      </c>
      <c r="N42" s="33" t="s">
        <v>416</v>
      </c>
      <c r="O42" s="34" t="s">
        <v>550</v>
      </c>
    </row>
    <row r="43" spans="1:17" s="1" customFormat="1" ht="15" customHeight="1" x14ac:dyDescent="0.25">
      <c r="A43" s="47">
        <v>38</v>
      </c>
      <c r="B43" s="29" t="s">
        <v>383</v>
      </c>
      <c r="C43" s="28">
        <v>3175056821</v>
      </c>
      <c r="D43" s="28" t="s">
        <v>12</v>
      </c>
      <c r="E43" s="30" t="s">
        <v>520</v>
      </c>
      <c r="F43" s="30" t="s">
        <v>492</v>
      </c>
      <c r="G43" s="28" t="s">
        <v>397</v>
      </c>
      <c r="H43" s="31">
        <v>42839</v>
      </c>
      <c r="I43" s="28">
        <v>3</v>
      </c>
      <c r="J43" s="29" t="s">
        <v>261</v>
      </c>
      <c r="K43" s="32" t="s">
        <v>551</v>
      </c>
      <c r="L43" s="33" t="s">
        <v>402</v>
      </c>
      <c r="M43" s="34" t="s">
        <v>552</v>
      </c>
      <c r="N43" s="33" t="s">
        <v>417</v>
      </c>
      <c r="O43" s="34" t="s">
        <v>553</v>
      </c>
    </row>
    <row r="44" spans="1:17" s="1" customFormat="1" ht="15" customHeight="1" x14ac:dyDescent="0.25">
      <c r="A44" s="47">
        <v>39</v>
      </c>
      <c r="B44" s="29" t="s">
        <v>384</v>
      </c>
      <c r="C44" s="28">
        <v>3162848151</v>
      </c>
      <c r="D44" s="28" t="s">
        <v>12</v>
      </c>
      <c r="E44" s="30" t="s">
        <v>518</v>
      </c>
      <c r="F44" s="30" t="s">
        <v>493</v>
      </c>
      <c r="G44" s="28" t="s">
        <v>8</v>
      </c>
      <c r="H44" s="31">
        <v>42725</v>
      </c>
      <c r="I44" s="28">
        <v>3</v>
      </c>
      <c r="J44" s="29" t="s">
        <v>261</v>
      </c>
      <c r="K44" s="32" t="s">
        <v>554</v>
      </c>
      <c r="L44" s="33" t="s">
        <v>403</v>
      </c>
      <c r="M44" s="34" t="s">
        <v>555</v>
      </c>
      <c r="N44" s="33" t="s">
        <v>418</v>
      </c>
      <c r="O44" s="34" t="s">
        <v>556</v>
      </c>
    </row>
    <row r="45" spans="1:17" s="1" customFormat="1" ht="15" customHeight="1" x14ac:dyDescent="0.25">
      <c r="A45" s="47">
        <v>40</v>
      </c>
      <c r="B45" s="29" t="s">
        <v>385</v>
      </c>
      <c r="C45" s="28">
        <v>3168349925</v>
      </c>
      <c r="D45" s="28" t="s">
        <v>12</v>
      </c>
      <c r="E45" s="30" t="s">
        <v>522</v>
      </c>
      <c r="F45" s="30" t="s">
        <v>494</v>
      </c>
      <c r="G45" s="28" t="s">
        <v>8</v>
      </c>
      <c r="H45" s="31">
        <v>42674</v>
      </c>
      <c r="I45" s="28">
        <v>3</v>
      </c>
      <c r="J45" s="29" t="s">
        <v>261</v>
      </c>
      <c r="K45" s="32" t="s">
        <v>531</v>
      </c>
      <c r="L45" s="33" t="s">
        <v>532</v>
      </c>
      <c r="M45" s="34" t="s">
        <v>533</v>
      </c>
      <c r="N45" s="33" t="s">
        <v>419</v>
      </c>
      <c r="O45" s="34" t="s">
        <v>534</v>
      </c>
    </row>
    <row r="46" spans="1:17" s="1" customFormat="1" ht="15" customHeight="1" x14ac:dyDescent="0.25">
      <c r="A46" s="47">
        <v>41</v>
      </c>
      <c r="B46" s="29" t="s">
        <v>386</v>
      </c>
      <c r="C46" s="28">
        <v>3171448679</v>
      </c>
      <c r="D46" s="28" t="s">
        <v>11</v>
      </c>
      <c r="E46" s="30" t="s">
        <v>524</v>
      </c>
      <c r="F46" s="30" t="s">
        <v>495</v>
      </c>
      <c r="G46" s="28" t="s">
        <v>8</v>
      </c>
      <c r="H46" s="31">
        <v>42740</v>
      </c>
      <c r="I46" s="28">
        <v>3</v>
      </c>
      <c r="J46" s="29" t="s">
        <v>262</v>
      </c>
      <c r="K46" s="32" t="s">
        <v>557</v>
      </c>
      <c r="L46" s="33" t="s">
        <v>404</v>
      </c>
      <c r="M46" s="34" t="s">
        <v>558</v>
      </c>
      <c r="N46" s="33" t="s">
        <v>420</v>
      </c>
      <c r="O46" s="34" t="s">
        <v>559</v>
      </c>
    </row>
    <row r="47" spans="1:17" s="1" customFormat="1" ht="15" customHeight="1" x14ac:dyDescent="0.25">
      <c r="A47" s="47">
        <v>42</v>
      </c>
      <c r="B47" s="29" t="s">
        <v>387</v>
      </c>
      <c r="C47" s="28">
        <v>3173177779</v>
      </c>
      <c r="D47" s="28" t="s">
        <v>11</v>
      </c>
      <c r="E47" s="30" t="s">
        <v>523</v>
      </c>
      <c r="F47" s="30" t="s">
        <v>496</v>
      </c>
      <c r="G47" s="28" t="s">
        <v>8</v>
      </c>
      <c r="H47" s="31">
        <v>42838</v>
      </c>
      <c r="I47" s="28">
        <v>3</v>
      </c>
      <c r="J47" s="29" t="s">
        <v>261</v>
      </c>
      <c r="K47" s="32" t="s">
        <v>560</v>
      </c>
      <c r="L47" s="33" t="s">
        <v>405</v>
      </c>
      <c r="M47" s="34" t="s">
        <v>561</v>
      </c>
      <c r="N47" s="33" t="s">
        <v>421</v>
      </c>
      <c r="O47" s="34" t="s">
        <v>562</v>
      </c>
    </row>
    <row r="48" spans="1:17" s="1" customFormat="1" ht="15" customHeight="1" x14ac:dyDescent="0.25">
      <c r="A48" s="47">
        <v>43</v>
      </c>
      <c r="B48" s="29" t="s">
        <v>388</v>
      </c>
      <c r="C48" s="28" t="s">
        <v>395</v>
      </c>
      <c r="D48" s="28" t="s">
        <v>11</v>
      </c>
      <c r="E48" s="30" t="s">
        <v>526</v>
      </c>
      <c r="F48" s="30" t="s">
        <v>497</v>
      </c>
      <c r="G48" s="28" t="s">
        <v>8</v>
      </c>
      <c r="H48" s="31">
        <v>42737</v>
      </c>
      <c r="I48" s="28">
        <v>3</v>
      </c>
      <c r="J48" s="29" t="s">
        <v>261</v>
      </c>
      <c r="K48" s="32" t="s">
        <v>563</v>
      </c>
      <c r="L48" s="33" t="s">
        <v>406</v>
      </c>
      <c r="M48" s="34" t="s">
        <v>564</v>
      </c>
      <c r="N48" s="33" t="s">
        <v>422</v>
      </c>
      <c r="O48" s="34" t="s">
        <v>565</v>
      </c>
    </row>
    <row r="49" spans="1:15" s="1" customFormat="1" ht="15" customHeight="1" x14ac:dyDescent="0.25">
      <c r="A49" s="47">
        <v>44</v>
      </c>
      <c r="B49" s="29" t="s">
        <v>827</v>
      </c>
      <c r="C49" s="28">
        <v>3178978527</v>
      </c>
      <c r="D49" s="28" t="s">
        <v>11</v>
      </c>
      <c r="E49" s="30" t="s">
        <v>525</v>
      </c>
      <c r="F49" s="30" t="s">
        <v>498</v>
      </c>
      <c r="G49" s="28" t="s">
        <v>8</v>
      </c>
      <c r="H49" s="31">
        <v>42843</v>
      </c>
      <c r="I49" s="28">
        <v>3</v>
      </c>
      <c r="J49" s="29" t="s">
        <v>261</v>
      </c>
      <c r="K49" s="32" t="s">
        <v>566</v>
      </c>
      <c r="L49" s="33" t="s">
        <v>362</v>
      </c>
      <c r="M49" s="34" t="s">
        <v>567</v>
      </c>
      <c r="N49" s="33" t="s">
        <v>423</v>
      </c>
      <c r="O49" s="34" t="s">
        <v>568</v>
      </c>
    </row>
    <row r="50" spans="1:15" s="1" customFormat="1" ht="15" customHeight="1" x14ac:dyDescent="0.25">
      <c r="A50" s="47">
        <v>45</v>
      </c>
      <c r="B50" s="29" t="s">
        <v>389</v>
      </c>
      <c r="C50" s="28">
        <v>3178159395</v>
      </c>
      <c r="D50" s="28" t="s">
        <v>11</v>
      </c>
      <c r="E50" s="30" t="s">
        <v>527</v>
      </c>
      <c r="F50" s="30" t="s">
        <v>499</v>
      </c>
      <c r="G50" s="28" t="s">
        <v>8</v>
      </c>
      <c r="H50" s="31">
        <v>42863</v>
      </c>
      <c r="I50" s="28">
        <v>3</v>
      </c>
      <c r="J50" s="29" t="s">
        <v>262</v>
      </c>
      <c r="K50" s="32" t="s">
        <v>569</v>
      </c>
      <c r="L50" s="33" t="s">
        <v>407</v>
      </c>
      <c r="M50" s="34" t="s">
        <v>570</v>
      </c>
      <c r="N50" s="33" t="s">
        <v>424</v>
      </c>
      <c r="O50" s="34" t="s">
        <v>571</v>
      </c>
    </row>
    <row r="51" spans="1:15" s="1" customFormat="1" ht="15" customHeight="1" x14ac:dyDescent="0.25">
      <c r="A51" s="47">
        <v>46</v>
      </c>
      <c r="B51" s="29" t="s">
        <v>390</v>
      </c>
      <c r="C51" s="28">
        <v>3175488062</v>
      </c>
      <c r="D51" s="28" t="s">
        <v>11</v>
      </c>
      <c r="E51" s="30" t="s">
        <v>528</v>
      </c>
      <c r="F51" s="30" t="s">
        <v>500</v>
      </c>
      <c r="G51" s="28" t="s">
        <v>8</v>
      </c>
      <c r="H51" s="31">
        <v>42866</v>
      </c>
      <c r="I51" s="28">
        <v>3</v>
      </c>
      <c r="J51" s="29" t="s">
        <v>262</v>
      </c>
      <c r="K51" s="32" t="s">
        <v>572</v>
      </c>
      <c r="L51" s="33" t="s">
        <v>408</v>
      </c>
      <c r="M51" s="34" t="s">
        <v>573</v>
      </c>
      <c r="N51" s="33" t="s">
        <v>425</v>
      </c>
      <c r="O51" s="34" t="s">
        <v>574</v>
      </c>
    </row>
    <row r="52" spans="1:15" s="1" customFormat="1" ht="15" customHeight="1" x14ac:dyDescent="0.25">
      <c r="A52" s="47">
        <v>47</v>
      </c>
      <c r="B52" s="29" t="s">
        <v>391</v>
      </c>
      <c r="C52" s="28" t="s">
        <v>396</v>
      </c>
      <c r="D52" s="28" t="s">
        <v>11</v>
      </c>
      <c r="E52" s="30" t="s">
        <v>435</v>
      </c>
      <c r="F52" s="30" t="s">
        <v>501</v>
      </c>
      <c r="G52" s="28" t="s">
        <v>8</v>
      </c>
      <c r="H52" s="31">
        <v>43003</v>
      </c>
      <c r="I52" s="28">
        <v>3</v>
      </c>
      <c r="J52" s="29" t="s">
        <v>261</v>
      </c>
      <c r="K52" s="32" t="s">
        <v>575</v>
      </c>
      <c r="L52" s="33" t="s">
        <v>409</v>
      </c>
      <c r="M52" s="34" t="s">
        <v>576</v>
      </c>
      <c r="N52" s="33" t="s">
        <v>426</v>
      </c>
      <c r="O52" s="34" t="s">
        <v>577</v>
      </c>
    </row>
    <row r="53" spans="1:15" s="1" customFormat="1" ht="15" customHeight="1" x14ac:dyDescent="0.25">
      <c r="A53" s="47">
        <v>48</v>
      </c>
      <c r="B53" s="29" t="s">
        <v>392</v>
      </c>
      <c r="C53" s="28">
        <v>3179533403</v>
      </c>
      <c r="D53" s="28" t="s">
        <v>12</v>
      </c>
      <c r="E53" s="30" t="s">
        <v>433</v>
      </c>
      <c r="F53" s="30" t="s">
        <v>502</v>
      </c>
      <c r="G53" s="28" t="s">
        <v>8</v>
      </c>
      <c r="H53" s="31">
        <v>42736</v>
      </c>
      <c r="I53" s="28">
        <v>3</v>
      </c>
      <c r="J53" s="29" t="s">
        <v>262</v>
      </c>
      <c r="K53" s="32" t="s">
        <v>578</v>
      </c>
      <c r="L53" s="33" t="s">
        <v>410</v>
      </c>
      <c r="M53" s="34" t="s">
        <v>579</v>
      </c>
      <c r="N53" s="33" t="s">
        <v>427</v>
      </c>
      <c r="O53" s="34" t="s">
        <v>580</v>
      </c>
    </row>
    <row r="54" spans="1:15" s="1" customFormat="1" ht="15" customHeight="1" x14ac:dyDescent="0.25">
      <c r="A54" s="47">
        <v>49</v>
      </c>
      <c r="B54" s="57" t="s">
        <v>430</v>
      </c>
      <c r="C54" s="28" t="s">
        <v>512</v>
      </c>
      <c r="D54" s="28" t="s">
        <v>12</v>
      </c>
      <c r="E54" s="30" t="s">
        <v>431</v>
      </c>
      <c r="F54" s="30" t="s">
        <v>503</v>
      </c>
      <c r="G54" s="28" t="s">
        <v>8</v>
      </c>
      <c r="H54" s="35">
        <v>42609</v>
      </c>
      <c r="I54" s="28">
        <v>3</v>
      </c>
      <c r="J54" s="29" t="s">
        <v>116</v>
      </c>
      <c r="K54" s="32" t="s">
        <v>436</v>
      </c>
      <c r="L54" s="33" t="s">
        <v>437</v>
      </c>
      <c r="M54" s="34" t="s">
        <v>438</v>
      </c>
      <c r="N54" s="33" t="s">
        <v>439</v>
      </c>
      <c r="O54" s="34" t="s">
        <v>440</v>
      </c>
    </row>
    <row r="55" spans="1:15" s="1" customFormat="1" ht="15" customHeight="1" x14ac:dyDescent="0.25">
      <c r="A55" s="47">
        <v>50</v>
      </c>
      <c r="B55" s="29" t="s">
        <v>393</v>
      </c>
      <c r="C55" s="28">
        <v>3174392691</v>
      </c>
      <c r="D55" s="28" t="s">
        <v>12</v>
      </c>
      <c r="E55" s="30" t="s">
        <v>434</v>
      </c>
      <c r="F55" s="30" t="s">
        <v>504</v>
      </c>
      <c r="G55" s="28" t="s">
        <v>8</v>
      </c>
      <c r="H55" s="31">
        <v>42811</v>
      </c>
      <c r="I55" s="28">
        <v>3</v>
      </c>
      <c r="J55" s="29" t="s">
        <v>262</v>
      </c>
      <c r="K55" s="32" t="s">
        <v>581</v>
      </c>
      <c r="L55" s="33" t="s">
        <v>411</v>
      </c>
      <c r="M55" s="34" t="s">
        <v>582</v>
      </c>
      <c r="N55" s="33" t="s">
        <v>428</v>
      </c>
      <c r="O55" s="34" t="s">
        <v>583</v>
      </c>
    </row>
    <row r="56" spans="1:15" s="1" customFormat="1" ht="15" customHeight="1" x14ac:dyDescent="0.25">
      <c r="A56" s="47">
        <v>51</v>
      </c>
      <c r="B56" s="57" t="s">
        <v>448</v>
      </c>
      <c r="C56" s="28" t="s">
        <v>513</v>
      </c>
      <c r="D56" s="28" t="s">
        <v>12</v>
      </c>
      <c r="E56" s="30" t="s">
        <v>449</v>
      </c>
      <c r="F56" s="30" t="s">
        <v>505</v>
      </c>
      <c r="G56" s="28" t="s">
        <v>8</v>
      </c>
      <c r="H56" s="35">
        <v>42785</v>
      </c>
      <c r="I56" s="28">
        <v>3</v>
      </c>
      <c r="J56" s="29" t="s">
        <v>143</v>
      </c>
      <c r="K56" s="32" t="s">
        <v>450</v>
      </c>
      <c r="L56" s="33" t="s">
        <v>451</v>
      </c>
      <c r="M56" s="34" t="s">
        <v>452</v>
      </c>
      <c r="N56" s="33" t="s">
        <v>453</v>
      </c>
      <c r="O56" s="34" t="s">
        <v>454</v>
      </c>
    </row>
    <row r="57" spans="1:15" s="1" customFormat="1" ht="15" customHeight="1" x14ac:dyDescent="0.25">
      <c r="A57" s="47">
        <v>52</v>
      </c>
      <c r="B57" s="57" t="s">
        <v>455</v>
      </c>
      <c r="C57" s="28" t="s">
        <v>514</v>
      </c>
      <c r="D57" s="28" t="s">
        <v>12</v>
      </c>
      <c r="E57" s="30" t="s">
        <v>456</v>
      </c>
      <c r="F57" s="30" t="s">
        <v>506</v>
      </c>
      <c r="G57" s="28" t="s">
        <v>8</v>
      </c>
      <c r="H57" s="35">
        <v>42747</v>
      </c>
      <c r="I57" s="28">
        <v>3</v>
      </c>
      <c r="J57" s="29" t="s">
        <v>143</v>
      </c>
      <c r="K57" s="32" t="s">
        <v>457</v>
      </c>
      <c r="L57" s="33" t="s">
        <v>458</v>
      </c>
      <c r="M57" s="34" t="s">
        <v>459</v>
      </c>
      <c r="N57" s="33" t="s">
        <v>460</v>
      </c>
      <c r="O57" s="34" t="s">
        <v>461</v>
      </c>
    </row>
    <row r="58" spans="1:15" s="1" customFormat="1" ht="15" customHeight="1" x14ac:dyDescent="0.25">
      <c r="A58" s="47">
        <v>53</v>
      </c>
      <c r="B58" s="29" t="s">
        <v>394</v>
      </c>
      <c r="C58" s="28">
        <v>3174813412</v>
      </c>
      <c r="D58" s="28" t="s">
        <v>12</v>
      </c>
      <c r="E58" s="30" t="s">
        <v>432</v>
      </c>
      <c r="F58" s="30" t="s">
        <v>507</v>
      </c>
      <c r="G58" s="28" t="s">
        <v>8</v>
      </c>
      <c r="H58" s="31">
        <v>42817</v>
      </c>
      <c r="I58" s="28">
        <v>3</v>
      </c>
      <c r="J58" s="29" t="s">
        <v>261</v>
      </c>
      <c r="K58" s="32" t="s">
        <v>584</v>
      </c>
      <c r="L58" s="33" t="s">
        <v>412</v>
      </c>
      <c r="M58" s="34" t="s">
        <v>585</v>
      </c>
      <c r="N58" s="33" t="s">
        <v>429</v>
      </c>
      <c r="O58" s="34" t="s">
        <v>586</v>
      </c>
    </row>
    <row r="59" spans="1:15" s="1" customFormat="1" ht="15" customHeight="1" x14ac:dyDescent="0.25">
      <c r="A59" s="47">
        <v>54</v>
      </c>
      <c r="B59" s="29" t="s">
        <v>654</v>
      </c>
      <c r="C59" s="28">
        <v>3165321437</v>
      </c>
      <c r="D59" s="28" t="s">
        <v>12</v>
      </c>
      <c r="E59" s="30" t="s">
        <v>655</v>
      </c>
      <c r="F59" s="30" t="s">
        <v>656</v>
      </c>
      <c r="G59" s="28" t="s">
        <v>43</v>
      </c>
      <c r="H59" s="31">
        <v>42622</v>
      </c>
      <c r="I59" s="28">
        <v>3</v>
      </c>
      <c r="J59" s="29" t="s">
        <v>657</v>
      </c>
      <c r="K59" s="32" t="s">
        <v>682</v>
      </c>
      <c r="L59" s="33" t="s">
        <v>659</v>
      </c>
      <c r="M59" s="34" t="s">
        <v>658</v>
      </c>
      <c r="N59" s="33" t="s">
        <v>660</v>
      </c>
      <c r="O59" s="34" t="s">
        <v>661</v>
      </c>
    </row>
    <row r="60" spans="1:15" s="1" customFormat="1" ht="15" customHeight="1" x14ac:dyDescent="0.25">
      <c r="A60" s="47">
        <v>55</v>
      </c>
      <c r="B60" s="57" t="s">
        <v>243</v>
      </c>
      <c r="C60" s="5" t="s">
        <v>330</v>
      </c>
      <c r="D60" s="3" t="s">
        <v>11</v>
      </c>
      <c r="E60" s="5" t="s">
        <v>281</v>
      </c>
      <c r="F60" s="5" t="s">
        <v>263</v>
      </c>
      <c r="G60" s="3" t="s">
        <v>8</v>
      </c>
      <c r="H60" s="2">
        <v>41999</v>
      </c>
      <c r="I60" s="3">
        <v>4</v>
      </c>
      <c r="J60" s="14" t="s">
        <v>129</v>
      </c>
      <c r="K60" s="23" t="s">
        <v>310</v>
      </c>
      <c r="L60" s="25" t="s">
        <v>311</v>
      </c>
      <c r="M60" s="23" t="s">
        <v>312</v>
      </c>
      <c r="N60" s="25" t="s">
        <v>205</v>
      </c>
      <c r="O60" s="23" t="s">
        <v>313</v>
      </c>
    </row>
    <row r="61" spans="1:15" s="1" customFormat="1" ht="15" customHeight="1" x14ac:dyDescent="0.25">
      <c r="A61" s="47">
        <v>56</v>
      </c>
      <c r="B61" s="57" t="s">
        <v>242</v>
      </c>
      <c r="C61" s="5" t="s">
        <v>329</v>
      </c>
      <c r="D61" s="3" t="s">
        <v>11</v>
      </c>
      <c r="E61" s="5" t="s">
        <v>282</v>
      </c>
      <c r="F61" s="5" t="s">
        <v>264</v>
      </c>
      <c r="G61" s="3" t="s">
        <v>8</v>
      </c>
      <c r="H61" s="2">
        <v>42210</v>
      </c>
      <c r="I61" s="3">
        <v>4</v>
      </c>
      <c r="J61" s="14" t="s">
        <v>134</v>
      </c>
      <c r="K61" s="23" t="s">
        <v>209</v>
      </c>
      <c r="L61" s="25" t="s">
        <v>210</v>
      </c>
      <c r="M61" s="23" t="s">
        <v>211</v>
      </c>
      <c r="N61" s="25" t="s">
        <v>212</v>
      </c>
      <c r="O61" s="23" t="s">
        <v>213</v>
      </c>
    </row>
    <row r="62" spans="1:15" s="1" customFormat="1" ht="15" customHeight="1" x14ac:dyDescent="0.25">
      <c r="A62" s="47">
        <v>57</v>
      </c>
      <c r="B62" s="14" t="s">
        <v>244</v>
      </c>
      <c r="C62" s="3">
        <v>3166092700</v>
      </c>
      <c r="D62" s="3" t="s">
        <v>11</v>
      </c>
      <c r="E62" s="5" t="s">
        <v>283</v>
      </c>
      <c r="F62" s="5" t="s">
        <v>265</v>
      </c>
      <c r="G62" s="3" t="s">
        <v>8</v>
      </c>
      <c r="H62" s="2">
        <v>42384</v>
      </c>
      <c r="I62" s="3">
        <v>4</v>
      </c>
      <c r="J62" s="14" t="s">
        <v>261</v>
      </c>
      <c r="K62" s="23" t="s">
        <v>321</v>
      </c>
      <c r="L62" s="25" t="s">
        <v>336</v>
      </c>
      <c r="M62" s="23" t="s">
        <v>319</v>
      </c>
      <c r="N62" s="25" t="s">
        <v>337</v>
      </c>
      <c r="O62" s="23" t="s">
        <v>320</v>
      </c>
    </row>
    <row r="63" spans="1:15" s="1" customFormat="1" ht="15" customHeight="1" x14ac:dyDescent="0.25">
      <c r="A63" s="47">
        <v>58</v>
      </c>
      <c r="B63" s="14" t="s">
        <v>245</v>
      </c>
      <c r="C63" s="3">
        <v>3169660693</v>
      </c>
      <c r="D63" s="3" t="s">
        <v>11</v>
      </c>
      <c r="E63" s="5" t="s">
        <v>284</v>
      </c>
      <c r="F63" s="5" t="s">
        <v>266</v>
      </c>
      <c r="G63" s="3" t="s">
        <v>8</v>
      </c>
      <c r="H63" s="2">
        <v>42384</v>
      </c>
      <c r="I63" s="3">
        <v>4</v>
      </c>
      <c r="J63" s="14" t="s">
        <v>262</v>
      </c>
      <c r="K63" s="23" t="s">
        <v>323</v>
      </c>
      <c r="L63" s="25" t="s">
        <v>322</v>
      </c>
      <c r="M63" s="23" t="s">
        <v>324</v>
      </c>
      <c r="N63" s="25" t="s">
        <v>338</v>
      </c>
      <c r="O63" s="23" t="s">
        <v>325</v>
      </c>
    </row>
    <row r="64" spans="1:15" s="1" customFormat="1" ht="15" customHeight="1" x14ac:dyDescent="0.25">
      <c r="A64" s="47">
        <v>59</v>
      </c>
      <c r="B64" s="14" t="s">
        <v>246</v>
      </c>
      <c r="C64" s="3" t="s">
        <v>253</v>
      </c>
      <c r="D64" s="3" t="s">
        <v>11</v>
      </c>
      <c r="E64" s="5" t="s">
        <v>285</v>
      </c>
      <c r="F64" s="5" t="s">
        <v>267</v>
      </c>
      <c r="G64" s="3" t="s">
        <v>8</v>
      </c>
      <c r="H64" s="2">
        <v>42280</v>
      </c>
      <c r="I64" s="3">
        <v>4</v>
      </c>
      <c r="J64" s="14" t="s">
        <v>261</v>
      </c>
      <c r="K64" s="23" t="s">
        <v>339</v>
      </c>
      <c r="L64" s="25" t="s">
        <v>340</v>
      </c>
      <c r="M64" s="23" t="s">
        <v>15</v>
      </c>
      <c r="N64" s="25" t="s">
        <v>341</v>
      </c>
      <c r="O64" s="23" t="s">
        <v>16</v>
      </c>
    </row>
    <row r="65" spans="1:15" s="1" customFormat="1" ht="15" customHeight="1" x14ac:dyDescent="0.25">
      <c r="A65" s="47">
        <v>60</v>
      </c>
      <c r="B65" s="14" t="s">
        <v>247</v>
      </c>
      <c r="C65" s="3" t="s">
        <v>254</v>
      </c>
      <c r="D65" s="3" t="s">
        <v>11</v>
      </c>
      <c r="E65" s="5" t="s">
        <v>286</v>
      </c>
      <c r="F65" s="5" t="s">
        <v>269</v>
      </c>
      <c r="G65" s="3" t="s">
        <v>8</v>
      </c>
      <c r="H65" s="2">
        <v>42373</v>
      </c>
      <c r="I65" s="3">
        <v>4</v>
      </c>
      <c r="J65" s="14" t="s">
        <v>261</v>
      </c>
      <c r="K65" s="23" t="s">
        <v>326</v>
      </c>
      <c r="L65" s="25" t="s">
        <v>342</v>
      </c>
      <c r="M65" s="23" t="s">
        <v>327</v>
      </c>
      <c r="N65" s="25" t="s">
        <v>343</v>
      </c>
      <c r="O65" s="23" t="s">
        <v>328</v>
      </c>
    </row>
    <row r="66" spans="1:15" s="1" customFormat="1" ht="15" customHeight="1" x14ac:dyDescent="0.25">
      <c r="A66" s="47">
        <v>61</v>
      </c>
      <c r="B66" s="14" t="s">
        <v>248</v>
      </c>
      <c r="C66" s="3" t="s">
        <v>255</v>
      </c>
      <c r="D66" s="3" t="s">
        <v>11</v>
      </c>
      <c r="E66" s="5" t="s">
        <v>287</v>
      </c>
      <c r="F66" s="5" t="s">
        <v>270</v>
      </c>
      <c r="G66" s="3" t="s">
        <v>8</v>
      </c>
      <c r="H66" s="2">
        <v>42197</v>
      </c>
      <c r="I66" s="3">
        <v>4</v>
      </c>
      <c r="J66" s="14" t="s">
        <v>261</v>
      </c>
      <c r="K66" s="23" t="s">
        <v>331</v>
      </c>
      <c r="L66" s="25" t="s">
        <v>344</v>
      </c>
      <c r="M66" s="23" t="s">
        <v>332</v>
      </c>
      <c r="N66" s="25" t="s">
        <v>345</v>
      </c>
      <c r="O66" s="23" t="s">
        <v>333</v>
      </c>
    </row>
    <row r="67" spans="1:15" s="1" customFormat="1" ht="15" customHeight="1" x14ac:dyDescent="0.25">
      <c r="A67" s="47">
        <v>62</v>
      </c>
      <c r="B67" s="57" t="s">
        <v>278</v>
      </c>
      <c r="C67" s="5" t="s">
        <v>373</v>
      </c>
      <c r="D67" s="3" t="s">
        <v>11</v>
      </c>
      <c r="E67" s="5" t="s">
        <v>288</v>
      </c>
      <c r="F67" s="5" t="s">
        <v>268</v>
      </c>
      <c r="G67" s="3" t="s">
        <v>8</v>
      </c>
      <c r="H67" s="2">
        <v>42322</v>
      </c>
      <c r="I67" s="3">
        <v>4</v>
      </c>
      <c r="J67" s="14" t="s">
        <v>280</v>
      </c>
      <c r="K67" s="23" t="s">
        <v>314</v>
      </c>
      <c r="L67" s="25" t="s">
        <v>315</v>
      </c>
      <c r="M67" s="23" t="s">
        <v>316</v>
      </c>
      <c r="N67" s="25" t="s">
        <v>317</v>
      </c>
      <c r="O67" s="23" t="s">
        <v>318</v>
      </c>
    </row>
    <row r="68" spans="1:15" s="1" customFormat="1" ht="15" customHeight="1" x14ac:dyDescent="0.25">
      <c r="A68" s="47">
        <v>63</v>
      </c>
      <c r="B68" s="57" t="s">
        <v>279</v>
      </c>
      <c r="C68" s="5" t="s">
        <v>372</v>
      </c>
      <c r="D68" s="3" t="s">
        <v>11</v>
      </c>
      <c r="E68" s="5" t="s">
        <v>289</v>
      </c>
      <c r="F68" s="5" t="s">
        <v>271</v>
      </c>
      <c r="G68" s="3" t="s">
        <v>8</v>
      </c>
      <c r="H68" s="2">
        <v>42172</v>
      </c>
      <c r="I68" s="3">
        <v>4</v>
      </c>
      <c r="J68" s="14" t="s">
        <v>76</v>
      </c>
      <c r="K68" s="23" t="s">
        <v>334</v>
      </c>
      <c r="L68" s="25" t="s">
        <v>366</v>
      </c>
      <c r="M68" s="23" t="s">
        <v>367</v>
      </c>
      <c r="N68" s="25" t="s">
        <v>375</v>
      </c>
      <c r="O68" s="23" t="s">
        <v>376</v>
      </c>
    </row>
    <row r="69" spans="1:15" s="1" customFormat="1" ht="15" customHeight="1" x14ac:dyDescent="0.25">
      <c r="A69" s="47">
        <v>64</v>
      </c>
      <c r="B69" s="14" t="s">
        <v>249</v>
      </c>
      <c r="C69" s="3" t="s">
        <v>256</v>
      </c>
      <c r="D69" s="3" t="s">
        <v>11</v>
      </c>
      <c r="E69" s="5" t="s">
        <v>291</v>
      </c>
      <c r="F69" s="5" t="s">
        <v>272</v>
      </c>
      <c r="G69" s="3" t="s">
        <v>8</v>
      </c>
      <c r="H69" s="2">
        <v>42148</v>
      </c>
      <c r="I69" s="3">
        <v>4</v>
      </c>
      <c r="J69" s="14" t="s">
        <v>261</v>
      </c>
      <c r="K69" s="23" t="s">
        <v>346</v>
      </c>
      <c r="L69" s="25" t="s">
        <v>347</v>
      </c>
      <c r="M69" s="23" t="s">
        <v>348</v>
      </c>
      <c r="N69" s="25" t="s">
        <v>349</v>
      </c>
      <c r="O69" s="23" t="s">
        <v>350</v>
      </c>
    </row>
    <row r="70" spans="1:15" s="1" customFormat="1" ht="15" customHeight="1" x14ac:dyDescent="0.25">
      <c r="A70" s="47">
        <v>65</v>
      </c>
      <c r="B70" s="14" t="s">
        <v>831</v>
      </c>
      <c r="C70" s="3" t="s">
        <v>257</v>
      </c>
      <c r="D70" s="3" t="s">
        <v>11</v>
      </c>
      <c r="E70" s="5" t="s">
        <v>292</v>
      </c>
      <c r="F70" s="5" t="s">
        <v>273</v>
      </c>
      <c r="G70" s="3" t="s">
        <v>8</v>
      </c>
      <c r="H70" s="2">
        <v>42148</v>
      </c>
      <c r="I70" s="3">
        <v>4</v>
      </c>
      <c r="J70" s="14" t="s">
        <v>261</v>
      </c>
      <c r="K70" s="23" t="s">
        <v>346</v>
      </c>
      <c r="L70" s="25" t="s">
        <v>347</v>
      </c>
      <c r="M70" s="23" t="s">
        <v>348</v>
      </c>
      <c r="N70" s="25" t="s">
        <v>349</v>
      </c>
      <c r="O70" s="23" t="s">
        <v>350</v>
      </c>
    </row>
    <row r="71" spans="1:15" s="1" customFormat="1" ht="15" customHeight="1" x14ac:dyDescent="0.25">
      <c r="A71" s="47">
        <v>66</v>
      </c>
      <c r="B71" s="14" t="s">
        <v>250</v>
      </c>
      <c r="C71" s="3" t="s">
        <v>258</v>
      </c>
      <c r="D71" s="3" t="s">
        <v>12</v>
      </c>
      <c r="E71" s="5" t="s">
        <v>293</v>
      </c>
      <c r="F71" s="5" t="s">
        <v>274</v>
      </c>
      <c r="G71" s="3" t="s">
        <v>8</v>
      </c>
      <c r="H71" s="2">
        <v>42326</v>
      </c>
      <c r="I71" s="3">
        <v>4</v>
      </c>
      <c r="J71" s="14" t="s">
        <v>261</v>
      </c>
      <c r="K71" s="23" t="s">
        <v>351</v>
      </c>
      <c r="L71" s="25" t="s">
        <v>352</v>
      </c>
      <c r="M71" s="23" t="s">
        <v>353</v>
      </c>
      <c r="N71" s="25" t="s">
        <v>354</v>
      </c>
      <c r="O71" s="23" t="s">
        <v>355</v>
      </c>
    </row>
    <row r="72" spans="1:15" s="1" customFormat="1" ht="15" customHeight="1" x14ac:dyDescent="0.25">
      <c r="A72" s="47">
        <v>67</v>
      </c>
      <c r="B72" s="57" t="s">
        <v>241</v>
      </c>
      <c r="C72" s="5" t="s">
        <v>374</v>
      </c>
      <c r="D72" s="3" t="s">
        <v>12</v>
      </c>
      <c r="E72" s="5" t="s">
        <v>290</v>
      </c>
      <c r="F72" s="5" t="s">
        <v>275</v>
      </c>
      <c r="G72" s="3" t="s">
        <v>8</v>
      </c>
      <c r="H72" s="2">
        <v>42251</v>
      </c>
      <c r="I72" s="3">
        <v>4</v>
      </c>
      <c r="J72" s="14" t="s">
        <v>280</v>
      </c>
      <c r="K72" s="23" t="s">
        <v>368</v>
      </c>
      <c r="L72" s="25" t="s">
        <v>369</v>
      </c>
      <c r="M72" s="23" t="s">
        <v>377</v>
      </c>
      <c r="N72" s="25" t="s">
        <v>370</v>
      </c>
      <c r="O72" s="23" t="s">
        <v>371</v>
      </c>
    </row>
    <row r="73" spans="1:15" s="1" customFormat="1" ht="15" customHeight="1" x14ac:dyDescent="0.25">
      <c r="A73" s="47">
        <v>68</v>
      </c>
      <c r="B73" s="14" t="s">
        <v>251</v>
      </c>
      <c r="C73" s="3" t="s">
        <v>259</v>
      </c>
      <c r="D73" s="3" t="s">
        <v>12</v>
      </c>
      <c r="E73" s="5" t="s">
        <v>294</v>
      </c>
      <c r="F73" s="5" t="s">
        <v>276</v>
      </c>
      <c r="G73" s="3" t="s">
        <v>8</v>
      </c>
      <c r="H73" s="2">
        <v>42366</v>
      </c>
      <c r="I73" s="3">
        <v>4</v>
      </c>
      <c r="J73" s="14" t="s">
        <v>261</v>
      </c>
      <c r="K73" s="23" t="s">
        <v>356</v>
      </c>
      <c r="L73" s="25" t="s">
        <v>357</v>
      </c>
      <c r="M73" s="23" t="s">
        <v>358</v>
      </c>
      <c r="N73" s="25" t="s">
        <v>359</v>
      </c>
      <c r="O73" s="23" t="s">
        <v>360</v>
      </c>
    </row>
    <row r="74" spans="1:15" s="1" customFormat="1" ht="15" customHeight="1" x14ac:dyDescent="0.25">
      <c r="A74" s="47">
        <v>69</v>
      </c>
      <c r="B74" s="14" t="s">
        <v>252</v>
      </c>
      <c r="C74" s="3" t="s">
        <v>260</v>
      </c>
      <c r="D74" s="3" t="s">
        <v>12</v>
      </c>
      <c r="E74" s="5" t="s">
        <v>295</v>
      </c>
      <c r="F74" s="5" t="s">
        <v>277</v>
      </c>
      <c r="G74" s="3" t="s">
        <v>8</v>
      </c>
      <c r="H74" s="2">
        <v>42243</v>
      </c>
      <c r="I74" s="3">
        <v>4</v>
      </c>
      <c r="J74" s="14" t="s">
        <v>261</v>
      </c>
      <c r="K74" s="23" t="s">
        <v>361</v>
      </c>
      <c r="L74" s="25" t="s">
        <v>362</v>
      </c>
      <c r="M74" s="23" t="s">
        <v>363</v>
      </c>
      <c r="N74" s="25" t="s">
        <v>364</v>
      </c>
      <c r="O74" s="23" t="s">
        <v>365</v>
      </c>
    </row>
    <row r="75" spans="1:15" s="1" customFormat="1" ht="15" customHeight="1" x14ac:dyDescent="0.25">
      <c r="A75" s="47">
        <v>70</v>
      </c>
      <c r="B75" s="58" t="s">
        <v>193</v>
      </c>
      <c r="C75" s="16">
        <v>3149577987</v>
      </c>
      <c r="D75" s="16" t="s">
        <v>11</v>
      </c>
      <c r="E75" s="17" t="s">
        <v>194</v>
      </c>
      <c r="F75" s="17" t="s">
        <v>214</v>
      </c>
      <c r="G75" s="16" t="s">
        <v>8</v>
      </c>
      <c r="H75" s="18">
        <v>41799</v>
      </c>
      <c r="I75" s="16">
        <v>5</v>
      </c>
      <c r="J75" s="19" t="s">
        <v>116</v>
      </c>
      <c r="K75" s="17" t="s">
        <v>195</v>
      </c>
      <c r="L75" s="19" t="s">
        <v>196</v>
      </c>
      <c r="M75" s="17" t="s">
        <v>197</v>
      </c>
      <c r="N75" s="19" t="s">
        <v>198</v>
      </c>
      <c r="O75" s="17" t="s">
        <v>199</v>
      </c>
    </row>
    <row r="76" spans="1:15" s="1" customFormat="1" ht="15" customHeight="1" x14ac:dyDescent="0.25">
      <c r="A76" s="47">
        <v>71</v>
      </c>
      <c r="B76" s="58" t="s">
        <v>207</v>
      </c>
      <c r="C76" s="16" t="s">
        <v>305</v>
      </c>
      <c r="D76" s="16" t="s">
        <v>11</v>
      </c>
      <c r="E76" s="17" t="s">
        <v>208</v>
      </c>
      <c r="F76" s="17" t="s">
        <v>215</v>
      </c>
      <c r="G76" s="16" t="s">
        <v>8</v>
      </c>
      <c r="H76" s="18">
        <v>41809</v>
      </c>
      <c r="I76" s="16">
        <v>5</v>
      </c>
      <c r="J76" s="19" t="s">
        <v>134</v>
      </c>
      <c r="K76" s="17" t="s">
        <v>209</v>
      </c>
      <c r="L76" s="19" t="s">
        <v>210</v>
      </c>
      <c r="M76" s="17" t="s">
        <v>211</v>
      </c>
      <c r="N76" s="19" t="s">
        <v>212</v>
      </c>
      <c r="O76" s="17" t="s">
        <v>213</v>
      </c>
    </row>
    <row r="77" spans="1:15" s="1" customFormat="1" ht="15" customHeight="1" x14ac:dyDescent="0.25">
      <c r="A77" s="47">
        <v>72</v>
      </c>
      <c r="B77" s="58" t="s">
        <v>186</v>
      </c>
      <c r="C77" s="16">
        <v>3144371486</v>
      </c>
      <c r="D77" s="16" t="s">
        <v>11</v>
      </c>
      <c r="E77" s="17" t="s">
        <v>187</v>
      </c>
      <c r="F77" s="17" t="s">
        <v>216</v>
      </c>
      <c r="G77" s="16" t="s">
        <v>8</v>
      </c>
      <c r="H77" s="18">
        <v>41776</v>
      </c>
      <c r="I77" s="16">
        <v>5</v>
      </c>
      <c r="J77" s="19" t="s">
        <v>116</v>
      </c>
      <c r="K77" s="17" t="s">
        <v>188</v>
      </c>
      <c r="L77" s="19" t="s">
        <v>189</v>
      </c>
      <c r="M77" s="17" t="s">
        <v>190</v>
      </c>
      <c r="N77" s="19" t="s">
        <v>191</v>
      </c>
      <c r="O77" s="17" t="s">
        <v>192</v>
      </c>
    </row>
    <row r="78" spans="1:15" s="1" customFormat="1" ht="15" customHeight="1" x14ac:dyDescent="0.25">
      <c r="A78" s="47">
        <v>73</v>
      </c>
      <c r="B78" s="20" t="s">
        <v>166</v>
      </c>
      <c r="C78" s="16" t="s">
        <v>306</v>
      </c>
      <c r="D78" s="16" t="s">
        <v>12</v>
      </c>
      <c r="E78" s="17" t="s">
        <v>167</v>
      </c>
      <c r="F78" s="17" t="s">
        <v>217</v>
      </c>
      <c r="G78" s="16" t="s">
        <v>8</v>
      </c>
      <c r="H78" s="18">
        <v>42146</v>
      </c>
      <c r="I78" s="16">
        <v>5</v>
      </c>
      <c r="J78" s="19" t="s">
        <v>78</v>
      </c>
      <c r="K78" s="17" t="s">
        <v>168</v>
      </c>
      <c r="L78" s="19" t="s">
        <v>169</v>
      </c>
      <c r="M78" s="17" t="s">
        <v>170</v>
      </c>
      <c r="N78" s="19" t="s">
        <v>171</v>
      </c>
      <c r="O78" s="17" t="s">
        <v>172</v>
      </c>
    </row>
    <row r="79" spans="1:15" s="1" customFormat="1" ht="15" customHeight="1" x14ac:dyDescent="0.25">
      <c r="A79" s="47">
        <v>74</v>
      </c>
      <c r="B79" s="20" t="s">
        <v>173</v>
      </c>
      <c r="C79" s="16" t="s">
        <v>307</v>
      </c>
      <c r="D79" s="16" t="s">
        <v>12</v>
      </c>
      <c r="E79" s="17" t="s">
        <v>174</v>
      </c>
      <c r="F79" s="17" t="s">
        <v>218</v>
      </c>
      <c r="G79" s="16" t="s">
        <v>8</v>
      </c>
      <c r="H79" s="18">
        <v>41932</v>
      </c>
      <c r="I79" s="16">
        <v>5</v>
      </c>
      <c r="J79" s="19" t="s">
        <v>78</v>
      </c>
      <c r="K79" s="17" t="s">
        <v>175</v>
      </c>
      <c r="L79" s="19" t="s">
        <v>176</v>
      </c>
      <c r="M79" s="17" t="s">
        <v>177</v>
      </c>
      <c r="N79" s="19" t="s">
        <v>178</v>
      </c>
      <c r="O79" s="17" t="s">
        <v>179</v>
      </c>
    </row>
    <row r="80" spans="1:15" s="1" customFormat="1" ht="15" customHeight="1" x14ac:dyDescent="0.25">
      <c r="A80" s="47">
        <v>75</v>
      </c>
      <c r="B80" s="20" t="s">
        <v>151</v>
      </c>
      <c r="C80" s="16" t="s">
        <v>308</v>
      </c>
      <c r="D80" s="16" t="s">
        <v>12</v>
      </c>
      <c r="E80" s="17" t="s">
        <v>152</v>
      </c>
      <c r="F80" s="17" t="s">
        <v>219</v>
      </c>
      <c r="G80" s="16" t="s">
        <v>8</v>
      </c>
      <c r="H80" s="18">
        <v>42067</v>
      </c>
      <c r="I80" s="16">
        <v>5</v>
      </c>
      <c r="J80" s="19" t="s">
        <v>153</v>
      </c>
      <c r="K80" s="17" t="s">
        <v>154</v>
      </c>
      <c r="L80" s="19" t="s">
        <v>155</v>
      </c>
      <c r="M80" s="17" t="s">
        <v>156</v>
      </c>
      <c r="N80" s="19" t="s">
        <v>157</v>
      </c>
      <c r="O80" s="17" t="s">
        <v>158</v>
      </c>
    </row>
    <row r="81" spans="1:15 16384:16384" s="1" customFormat="1" ht="15" customHeight="1" x14ac:dyDescent="0.25">
      <c r="A81" s="47">
        <v>76</v>
      </c>
      <c r="B81" s="20" t="s">
        <v>180</v>
      </c>
      <c r="C81" s="16">
        <v>3152164445</v>
      </c>
      <c r="D81" s="16" t="s">
        <v>12</v>
      </c>
      <c r="E81" s="17" t="s">
        <v>181</v>
      </c>
      <c r="F81" s="17" t="s">
        <v>220</v>
      </c>
      <c r="G81" s="16" t="s">
        <v>8</v>
      </c>
      <c r="H81" s="18">
        <v>42243</v>
      </c>
      <c r="I81" s="16">
        <v>5</v>
      </c>
      <c r="J81" s="19" t="s">
        <v>78</v>
      </c>
      <c r="K81" s="17" t="s">
        <v>182</v>
      </c>
      <c r="L81" s="19" t="s">
        <v>183</v>
      </c>
      <c r="M81" s="17" t="s">
        <v>184</v>
      </c>
      <c r="N81" s="19" t="s">
        <v>37</v>
      </c>
      <c r="O81" s="17" t="s">
        <v>185</v>
      </c>
    </row>
    <row r="82" spans="1:15 16384:16384" s="1" customFormat="1" ht="15" customHeight="1" x14ac:dyDescent="0.25">
      <c r="A82" s="47">
        <v>77</v>
      </c>
      <c r="B82" s="58" t="s">
        <v>200</v>
      </c>
      <c r="C82" s="16">
        <v>3149965790</v>
      </c>
      <c r="D82" s="16" t="s">
        <v>12</v>
      </c>
      <c r="E82" s="17" t="s">
        <v>201</v>
      </c>
      <c r="F82" s="17" t="s">
        <v>221</v>
      </c>
      <c r="G82" s="16" t="s">
        <v>8</v>
      </c>
      <c r="H82" s="18">
        <v>41904</v>
      </c>
      <c r="I82" s="16">
        <v>5</v>
      </c>
      <c r="J82" s="19" t="s">
        <v>116</v>
      </c>
      <c r="K82" s="17" t="s">
        <v>202</v>
      </c>
      <c r="L82" s="19" t="s">
        <v>203</v>
      </c>
      <c r="M82" s="17" t="s">
        <v>204</v>
      </c>
      <c r="N82" s="19" t="s">
        <v>205</v>
      </c>
      <c r="O82" s="17" t="s">
        <v>206</v>
      </c>
    </row>
    <row r="83" spans="1:15 16384:16384" s="1" customFormat="1" ht="15" customHeight="1" x14ac:dyDescent="0.25">
      <c r="A83" s="47">
        <v>78</v>
      </c>
      <c r="B83" s="20" t="s">
        <v>229</v>
      </c>
      <c r="C83" s="16" t="s">
        <v>309</v>
      </c>
      <c r="D83" s="16" t="s">
        <v>11</v>
      </c>
      <c r="E83" s="17" t="s">
        <v>224</v>
      </c>
      <c r="F83" s="17" t="s">
        <v>222</v>
      </c>
      <c r="G83" s="16" t="s">
        <v>8</v>
      </c>
      <c r="H83" s="18">
        <v>42116</v>
      </c>
      <c r="I83" s="16">
        <v>5</v>
      </c>
      <c r="J83" s="19" t="s">
        <v>78</v>
      </c>
      <c r="K83" s="17" t="s">
        <v>225</v>
      </c>
      <c r="L83" s="19" t="s">
        <v>226</v>
      </c>
      <c r="M83" s="17" t="s">
        <v>227</v>
      </c>
      <c r="N83" s="19" t="s">
        <v>228</v>
      </c>
      <c r="O83" s="17" t="s">
        <v>378</v>
      </c>
    </row>
    <row r="84" spans="1:15 16384:16384" s="1" customFormat="1" ht="15" customHeight="1" x14ac:dyDescent="0.25">
      <c r="A84" s="47">
        <v>79</v>
      </c>
      <c r="B84" s="20" t="s">
        <v>159</v>
      </c>
      <c r="C84" s="16">
        <v>3140153358</v>
      </c>
      <c r="D84" s="16" t="s">
        <v>12</v>
      </c>
      <c r="E84" s="17" t="s">
        <v>160</v>
      </c>
      <c r="F84" s="17" t="s">
        <v>223</v>
      </c>
      <c r="G84" s="16" t="s">
        <v>8</v>
      </c>
      <c r="H84" s="18">
        <v>41977</v>
      </c>
      <c r="I84" s="16">
        <v>5</v>
      </c>
      <c r="J84" s="19" t="s">
        <v>75</v>
      </c>
      <c r="K84" s="17" t="s">
        <v>161</v>
      </c>
      <c r="L84" s="19" t="s">
        <v>162</v>
      </c>
      <c r="M84" s="17" t="s">
        <v>163</v>
      </c>
      <c r="N84" s="19" t="s">
        <v>164</v>
      </c>
      <c r="O84" s="17" t="s">
        <v>165</v>
      </c>
    </row>
    <row r="85" spans="1:15 16384:16384" s="1" customFormat="1" ht="15" customHeight="1" x14ac:dyDescent="0.25">
      <c r="A85" s="47">
        <v>80</v>
      </c>
      <c r="B85" s="20" t="str">
        <f>'[1]202-2025 New'!B70</f>
        <v>St. Badriyatut Tamamah</v>
      </c>
      <c r="C85" s="16" t="str">
        <f>'[1]202-2025 New'!C70</f>
        <v>0159300586</v>
      </c>
      <c r="D85" s="16" t="str">
        <f>'[1]202-2025 New'!D70</f>
        <v>P</v>
      </c>
      <c r="E85" s="17" t="str">
        <f>'[1]202-2025 New'!E70</f>
        <v>3529114702150001</v>
      </c>
      <c r="F85" s="17" t="str">
        <f>'[1]202-2025 New'!F70</f>
        <v>111235290040210346</v>
      </c>
      <c r="G85" s="16" t="str">
        <f>'[1]202-2025 New'!G70</f>
        <v>Sumenep</v>
      </c>
      <c r="H85" s="18">
        <f>'[1]202-2025 New'!H70</f>
        <v>42042</v>
      </c>
      <c r="I85" s="16">
        <v>5</v>
      </c>
      <c r="J85" s="19" t="str">
        <f>'[1]202-2025 New'!J70</f>
        <v>Dusun Bapelle</v>
      </c>
      <c r="K85" s="17" t="str">
        <f>'[1]202-2025 New'!K70</f>
        <v>3529112307150005</v>
      </c>
      <c r="L85" s="19" t="str">
        <f>'[1]202-2025 New'!L70</f>
        <v>Baidi</v>
      </c>
      <c r="M85" s="17" t="str">
        <f>'[1]202-2025 New'!M70</f>
        <v>3529110304800007</v>
      </c>
      <c r="N85" s="19" t="str">
        <f>'[1]202-2025 New'!N70</f>
        <v>Sulaimmah</v>
      </c>
      <c r="O85" s="17" t="str">
        <f>'[1]202-2025 New'!O70</f>
        <v>3529114907790003</v>
      </c>
    </row>
    <row r="86" spans="1:15 16384:16384" s="1" customFormat="1" ht="15" customHeight="1" x14ac:dyDescent="0.25">
      <c r="A86" s="47">
        <v>81</v>
      </c>
      <c r="B86" s="21" t="s">
        <v>44</v>
      </c>
      <c r="C86" s="7" t="s">
        <v>296</v>
      </c>
      <c r="D86" s="7" t="s">
        <v>11</v>
      </c>
      <c r="E86" s="9" t="s">
        <v>72</v>
      </c>
      <c r="F86" s="9" t="s">
        <v>56</v>
      </c>
      <c r="G86" s="7" t="s">
        <v>8</v>
      </c>
      <c r="H86" s="10">
        <v>41730</v>
      </c>
      <c r="I86" s="7">
        <v>6</v>
      </c>
      <c r="J86" s="8" t="s">
        <v>75</v>
      </c>
      <c r="K86" s="9" t="s">
        <v>67</v>
      </c>
      <c r="L86" s="8" t="s">
        <v>68</v>
      </c>
      <c r="M86" s="9" t="s">
        <v>69</v>
      </c>
      <c r="N86" s="8" t="s">
        <v>70</v>
      </c>
      <c r="O86" s="9" t="s">
        <v>71</v>
      </c>
      <c r="XFD86" s="1">
        <f>SUM(A86:XFC86)</f>
        <v>41817</v>
      </c>
    </row>
    <row r="87" spans="1:15 16384:16384" s="1" customFormat="1" ht="15" customHeight="1" x14ac:dyDescent="0.25">
      <c r="A87" s="47">
        <v>82</v>
      </c>
      <c r="B87" s="59" t="s">
        <v>45</v>
      </c>
      <c r="C87" s="7" t="s">
        <v>297</v>
      </c>
      <c r="D87" s="7" t="s">
        <v>11</v>
      </c>
      <c r="E87" s="9" t="s">
        <v>73</v>
      </c>
      <c r="F87" s="9" t="s">
        <v>57</v>
      </c>
      <c r="G87" s="7" t="s">
        <v>8</v>
      </c>
      <c r="H87" s="10">
        <v>41195</v>
      </c>
      <c r="I87" s="7">
        <v>6</v>
      </c>
      <c r="J87" s="8" t="s">
        <v>76</v>
      </c>
      <c r="K87" s="9" t="s">
        <v>17</v>
      </c>
      <c r="L87" s="8" t="s">
        <v>18</v>
      </c>
      <c r="M87" s="9" t="s">
        <v>19</v>
      </c>
      <c r="N87" s="8" t="s">
        <v>20</v>
      </c>
      <c r="O87" s="9" t="s">
        <v>21</v>
      </c>
    </row>
    <row r="88" spans="1:15 16384:16384" s="1" customFormat="1" ht="15" customHeight="1" x14ac:dyDescent="0.25">
      <c r="A88" s="47">
        <v>83</v>
      </c>
      <c r="B88" s="21" t="s">
        <v>237</v>
      </c>
      <c r="C88" s="7">
        <v>3147779020</v>
      </c>
      <c r="D88" s="7" t="s">
        <v>12</v>
      </c>
      <c r="E88" s="9" t="s">
        <v>238</v>
      </c>
      <c r="F88" s="9" t="s">
        <v>239</v>
      </c>
      <c r="G88" s="7" t="s">
        <v>8</v>
      </c>
      <c r="H88" s="10">
        <v>41789</v>
      </c>
      <c r="I88" s="7">
        <v>6</v>
      </c>
      <c r="J88" s="8" t="s">
        <v>78</v>
      </c>
      <c r="K88" s="9" t="s">
        <v>146</v>
      </c>
      <c r="L88" s="8" t="s">
        <v>147</v>
      </c>
      <c r="M88" s="9" t="s">
        <v>148</v>
      </c>
      <c r="N88" s="8" t="s">
        <v>149</v>
      </c>
      <c r="O88" s="9" t="s">
        <v>240</v>
      </c>
    </row>
    <row r="89" spans="1:15 16384:16384" s="1" customFormat="1" ht="15" customHeight="1" x14ac:dyDescent="0.25">
      <c r="A89" s="47">
        <v>84</v>
      </c>
      <c r="B89" s="21" t="s">
        <v>46</v>
      </c>
      <c r="C89" s="7" t="s">
        <v>298</v>
      </c>
      <c r="D89" s="7" t="s">
        <v>11</v>
      </c>
      <c r="E89" s="9" t="s">
        <v>77</v>
      </c>
      <c r="F89" s="9" t="s">
        <v>58</v>
      </c>
      <c r="G89" s="7" t="s">
        <v>8</v>
      </c>
      <c r="H89" s="10">
        <v>41669</v>
      </c>
      <c r="I89" s="7">
        <v>6</v>
      </c>
      <c r="J89" s="8" t="s">
        <v>78</v>
      </c>
      <c r="K89" s="9" t="s">
        <v>79</v>
      </c>
      <c r="L89" s="8" t="s">
        <v>80</v>
      </c>
      <c r="M89" s="9" t="s">
        <v>82</v>
      </c>
      <c r="N89" s="8" t="s">
        <v>83</v>
      </c>
      <c r="O89" s="7" t="s">
        <v>81</v>
      </c>
    </row>
    <row r="90" spans="1:15 16384:16384" s="1" customFormat="1" ht="15" customHeight="1" x14ac:dyDescent="0.25">
      <c r="A90" s="47">
        <v>85</v>
      </c>
      <c r="B90" s="21" t="s">
        <v>47</v>
      </c>
      <c r="C90" s="7" t="s">
        <v>299</v>
      </c>
      <c r="D90" s="7" t="s">
        <v>11</v>
      </c>
      <c r="E90" s="9" t="s">
        <v>84</v>
      </c>
      <c r="F90" s="9" t="s">
        <v>59</v>
      </c>
      <c r="G90" s="7" t="s">
        <v>8</v>
      </c>
      <c r="H90" s="10">
        <v>41692</v>
      </c>
      <c r="I90" s="7">
        <v>6</v>
      </c>
      <c r="J90" s="8" t="s">
        <v>78</v>
      </c>
      <c r="K90" s="9" t="s">
        <v>85</v>
      </c>
      <c r="L90" s="8" t="s">
        <v>86</v>
      </c>
      <c r="M90" s="9" t="s">
        <v>87</v>
      </c>
      <c r="N90" s="8" t="s">
        <v>88</v>
      </c>
      <c r="O90" s="9" t="s">
        <v>89</v>
      </c>
    </row>
    <row r="91" spans="1:15 16384:16384" s="1" customFormat="1" ht="15" customHeight="1" x14ac:dyDescent="0.25">
      <c r="A91" s="47">
        <v>86</v>
      </c>
      <c r="B91" s="21" t="s">
        <v>48</v>
      </c>
      <c r="C91" s="7">
        <v>3148494388</v>
      </c>
      <c r="D91" s="7" t="s">
        <v>11</v>
      </c>
      <c r="E91" s="9" t="s">
        <v>90</v>
      </c>
      <c r="F91" s="9" t="s">
        <v>60</v>
      </c>
      <c r="G91" s="7" t="s">
        <v>8</v>
      </c>
      <c r="H91" s="10">
        <v>41675</v>
      </c>
      <c r="I91" s="7">
        <v>6</v>
      </c>
      <c r="J91" s="8" t="s">
        <v>78</v>
      </c>
      <c r="K91" s="9" t="s">
        <v>91</v>
      </c>
      <c r="L91" s="8" t="s">
        <v>92</v>
      </c>
      <c r="M91" s="9" t="s">
        <v>93</v>
      </c>
      <c r="N91" s="8" t="s">
        <v>94</v>
      </c>
      <c r="O91" s="9" t="s">
        <v>95</v>
      </c>
    </row>
    <row r="92" spans="1:15 16384:16384" s="1" customFormat="1" ht="15" customHeight="1" x14ac:dyDescent="0.25">
      <c r="A92" s="47">
        <v>87</v>
      </c>
      <c r="B92" s="21" t="s">
        <v>49</v>
      </c>
      <c r="C92" s="7">
        <v>3134041876</v>
      </c>
      <c r="D92" s="7" t="s">
        <v>11</v>
      </c>
      <c r="E92" s="9" t="s">
        <v>96</v>
      </c>
      <c r="F92" s="9" t="s">
        <v>61</v>
      </c>
      <c r="G92" s="7" t="s">
        <v>8</v>
      </c>
      <c r="H92" s="10">
        <v>41629</v>
      </c>
      <c r="I92" s="7">
        <v>6</v>
      </c>
      <c r="J92" s="8" t="s">
        <v>97</v>
      </c>
      <c r="K92" s="9" t="s">
        <v>98</v>
      </c>
      <c r="L92" s="8" t="s">
        <v>99</v>
      </c>
      <c r="M92" s="9" t="s">
        <v>100</v>
      </c>
      <c r="N92" s="8" t="s">
        <v>101</v>
      </c>
      <c r="O92" s="9" t="s">
        <v>102</v>
      </c>
    </row>
    <row r="93" spans="1:15 16384:16384" s="1" customFormat="1" ht="15" customHeight="1" x14ac:dyDescent="0.25">
      <c r="A93" s="47">
        <v>88</v>
      </c>
      <c r="B93" s="21" t="s">
        <v>50</v>
      </c>
      <c r="C93" s="7">
        <v>3134731548</v>
      </c>
      <c r="D93" s="7" t="s">
        <v>12</v>
      </c>
      <c r="E93" s="9" t="s">
        <v>103</v>
      </c>
      <c r="F93" s="9" t="s">
        <v>62</v>
      </c>
      <c r="G93" s="7" t="s">
        <v>8</v>
      </c>
      <c r="H93" s="10">
        <v>41321</v>
      </c>
      <c r="I93" s="7">
        <v>6</v>
      </c>
      <c r="J93" s="8" t="s">
        <v>144</v>
      </c>
      <c r="K93" s="9" t="s">
        <v>105</v>
      </c>
      <c r="L93" s="8" t="s">
        <v>106</v>
      </c>
      <c r="M93" s="9" t="s">
        <v>104</v>
      </c>
      <c r="N93" s="8" t="s">
        <v>107</v>
      </c>
      <c r="O93" s="9" t="s">
        <v>108</v>
      </c>
    </row>
    <row r="94" spans="1:15 16384:16384" s="1" customFormat="1" ht="15" customHeight="1" x14ac:dyDescent="0.25">
      <c r="A94" s="47">
        <v>89</v>
      </c>
      <c r="B94" s="21" t="s">
        <v>51</v>
      </c>
      <c r="C94" s="7" t="s">
        <v>300</v>
      </c>
      <c r="D94" s="7" t="s">
        <v>11</v>
      </c>
      <c r="E94" s="9" t="s">
        <v>109</v>
      </c>
      <c r="F94" s="9" t="s">
        <v>63</v>
      </c>
      <c r="G94" s="7" t="s">
        <v>8</v>
      </c>
      <c r="H94" s="10">
        <v>41678</v>
      </c>
      <c r="I94" s="7">
        <v>6</v>
      </c>
      <c r="J94" s="8" t="s">
        <v>78</v>
      </c>
      <c r="K94" s="9" t="s">
        <v>110</v>
      </c>
      <c r="L94" s="8" t="s">
        <v>111</v>
      </c>
      <c r="M94" s="9" t="s">
        <v>112</v>
      </c>
      <c r="N94" s="8" t="s">
        <v>113</v>
      </c>
      <c r="O94" s="9" t="s">
        <v>114</v>
      </c>
    </row>
    <row r="95" spans="1:15 16384:16384" s="1" customFormat="1" ht="15" customHeight="1" x14ac:dyDescent="0.25">
      <c r="A95" s="47">
        <v>90</v>
      </c>
      <c r="B95" s="59" t="s">
        <v>52</v>
      </c>
      <c r="C95" s="7" t="s">
        <v>301</v>
      </c>
      <c r="D95" s="7" t="s">
        <v>11</v>
      </c>
      <c r="E95" s="9" t="s">
        <v>115</v>
      </c>
      <c r="F95" s="9" t="s">
        <v>64</v>
      </c>
      <c r="G95" s="7" t="s">
        <v>8</v>
      </c>
      <c r="H95" s="10">
        <v>41515</v>
      </c>
      <c r="I95" s="7">
        <v>6</v>
      </c>
      <c r="J95" s="8" t="s">
        <v>116</v>
      </c>
      <c r="K95" s="9" t="s">
        <v>117</v>
      </c>
      <c r="L95" s="8" t="s">
        <v>118</v>
      </c>
      <c r="M95" s="9" t="s">
        <v>119</v>
      </c>
      <c r="N95" s="8" t="s">
        <v>120</v>
      </c>
      <c r="O95" s="9" t="s">
        <v>121</v>
      </c>
    </row>
    <row r="96" spans="1:15 16384:16384" s="1" customFormat="1" ht="15" customHeight="1" x14ac:dyDescent="0.25">
      <c r="A96" s="47">
        <v>91</v>
      </c>
      <c r="B96" s="21" t="s">
        <v>53</v>
      </c>
      <c r="C96" s="7" t="s">
        <v>302</v>
      </c>
      <c r="D96" s="7" t="s">
        <v>12</v>
      </c>
      <c r="E96" s="9" t="s">
        <v>122</v>
      </c>
      <c r="F96" s="9" t="s">
        <v>65</v>
      </c>
      <c r="G96" s="7" t="s">
        <v>8</v>
      </c>
      <c r="H96" s="10">
        <v>41783</v>
      </c>
      <c r="I96" s="7">
        <v>6</v>
      </c>
      <c r="J96" s="8" t="s">
        <v>78</v>
      </c>
      <c r="K96" s="9" t="s">
        <v>38</v>
      </c>
      <c r="L96" s="8" t="s">
        <v>39</v>
      </c>
      <c r="M96" s="9" t="s">
        <v>40</v>
      </c>
      <c r="N96" s="8" t="s">
        <v>41</v>
      </c>
      <c r="O96" s="9" t="s">
        <v>42</v>
      </c>
    </row>
    <row r="97" spans="1:15" s="1" customFormat="1" ht="15" customHeight="1" x14ac:dyDescent="0.25">
      <c r="A97" s="47">
        <v>92</v>
      </c>
      <c r="B97" s="59" t="s">
        <v>135</v>
      </c>
      <c r="C97" s="7" t="s">
        <v>303</v>
      </c>
      <c r="D97" s="7" t="s">
        <v>12</v>
      </c>
      <c r="E97" s="9" t="s">
        <v>136</v>
      </c>
      <c r="F97" s="9" t="s">
        <v>66</v>
      </c>
      <c r="G97" s="7" t="s">
        <v>8</v>
      </c>
      <c r="H97" s="10">
        <v>41531</v>
      </c>
      <c r="I97" s="7">
        <v>6</v>
      </c>
      <c r="J97" s="8" t="s">
        <v>134</v>
      </c>
      <c r="K97" s="9" t="s">
        <v>137</v>
      </c>
      <c r="L97" s="8" t="s">
        <v>138</v>
      </c>
      <c r="M97" s="9" t="s">
        <v>139</v>
      </c>
      <c r="N97" s="8" t="s">
        <v>140</v>
      </c>
      <c r="O97" s="9" t="s">
        <v>141</v>
      </c>
    </row>
    <row r="98" spans="1:15" s="1" customFormat="1" ht="15" customHeight="1" x14ac:dyDescent="0.25">
      <c r="A98" s="47">
        <v>93</v>
      </c>
      <c r="B98" s="21" t="s">
        <v>54</v>
      </c>
      <c r="C98" s="7" t="s">
        <v>304</v>
      </c>
      <c r="D98" s="7" t="s">
        <v>12</v>
      </c>
      <c r="E98" s="9" t="s">
        <v>123</v>
      </c>
      <c r="F98" s="9" t="s">
        <v>142</v>
      </c>
      <c r="G98" s="7" t="s">
        <v>8</v>
      </c>
      <c r="H98" s="10">
        <v>41904</v>
      </c>
      <c r="I98" s="7">
        <v>6</v>
      </c>
      <c r="J98" s="8" t="s">
        <v>78</v>
      </c>
      <c r="K98" s="9" t="s">
        <v>124</v>
      </c>
      <c r="L98" s="8" t="s">
        <v>125</v>
      </c>
      <c r="M98" s="7"/>
      <c r="N98" s="8" t="s">
        <v>126</v>
      </c>
      <c r="O98" s="9" t="s">
        <v>127</v>
      </c>
    </row>
    <row r="99" spans="1:15" s="1" customFormat="1" ht="15" customHeight="1" x14ac:dyDescent="0.25">
      <c r="A99" s="47">
        <v>94</v>
      </c>
      <c r="B99" s="21" t="s">
        <v>55</v>
      </c>
      <c r="C99" s="7">
        <v>3143847243</v>
      </c>
      <c r="D99" s="7" t="s">
        <v>12</v>
      </c>
      <c r="E99" s="9" t="s">
        <v>128</v>
      </c>
      <c r="F99" s="9" t="s">
        <v>145</v>
      </c>
      <c r="G99" s="7" t="s">
        <v>8</v>
      </c>
      <c r="H99" s="10">
        <v>41668</v>
      </c>
      <c r="I99" s="7">
        <v>6</v>
      </c>
      <c r="J99" s="8" t="s">
        <v>129</v>
      </c>
      <c r="K99" s="9" t="s">
        <v>130</v>
      </c>
      <c r="L99" s="8" t="s">
        <v>131</v>
      </c>
      <c r="M99" s="9" t="s">
        <v>132</v>
      </c>
      <c r="N99" s="8" t="s">
        <v>133</v>
      </c>
      <c r="O99" s="9" t="s">
        <v>150</v>
      </c>
    </row>
    <row r="100" spans="1:15" ht="16.5" x14ac:dyDescent="0.25">
      <c r="B100" s="22"/>
      <c r="C100" s="11"/>
    </row>
    <row r="101" spans="1:15" x14ac:dyDescent="0.25">
      <c r="B101" s="22"/>
    </row>
    <row r="102" spans="1:15" x14ac:dyDescent="0.25">
      <c r="B102" s="22" t="s">
        <v>828</v>
      </c>
      <c r="C102" t="s">
        <v>12</v>
      </c>
      <c r="D102" s="60" t="s">
        <v>11</v>
      </c>
      <c r="E102" s="60" t="s">
        <v>829</v>
      </c>
    </row>
    <row r="103" spans="1:15" x14ac:dyDescent="0.25">
      <c r="B103" s="22">
        <v>1</v>
      </c>
      <c r="C103">
        <f>E103-D103</f>
        <v>7</v>
      </c>
      <c r="D103">
        <v>8</v>
      </c>
      <c r="E103">
        <v>15</v>
      </c>
    </row>
    <row r="104" spans="1:15" x14ac:dyDescent="0.25">
      <c r="B104" s="22">
        <v>2</v>
      </c>
      <c r="C104">
        <f t="shared" ref="C104:C108" si="0">E104-D104</f>
        <v>7</v>
      </c>
      <c r="D104">
        <v>6</v>
      </c>
      <c r="E104">
        <v>13</v>
      </c>
    </row>
    <row r="105" spans="1:15" x14ac:dyDescent="0.25">
      <c r="B105" s="22">
        <v>3</v>
      </c>
      <c r="C105">
        <f t="shared" si="0"/>
        <v>12</v>
      </c>
      <c r="D105">
        <v>14</v>
      </c>
      <c r="E105">
        <v>26</v>
      </c>
    </row>
    <row r="106" spans="1:15" x14ac:dyDescent="0.25">
      <c r="B106" s="22">
        <v>4</v>
      </c>
      <c r="C106">
        <f t="shared" si="0"/>
        <v>4</v>
      </c>
      <c r="D106">
        <v>11</v>
      </c>
      <c r="E106">
        <v>15</v>
      </c>
    </row>
    <row r="107" spans="1:15" x14ac:dyDescent="0.25">
      <c r="B107" s="22">
        <v>5</v>
      </c>
      <c r="C107">
        <f t="shared" si="0"/>
        <v>7</v>
      </c>
      <c r="D107">
        <v>4</v>
      </c>
      <c r="E107">
        <v>11</v>
      </c>
    </row>
    <row r="108" spans="1:15" x14ac:dyDescent="0.25">
      <c r="B108" s="22">
        <v>6</v>
      </c>
      <c r="C108">
        <f t="shared" si="0"/>
        <v>6</v>
      </c>
      <c r="D108">
        <v>8</v>
      </c>
      <c r="E108">
        <v>14</v>
      </c>
    </row>
    <row r="109" spans="1:15" x14ac:dyDescent="0.25">
      <c r="B109" s="22"/>
      <c r="C109">
        <f>SUM(C103:C108)</f>
        <v>43</v>
      </c>
      <c r="D109">
        <f>SUM(D103:D108)</f>
        <v>51</v>
      </c>
      <c r="E109">
        <f>SUM(E103:E108)</f>
        <v>94</v>
      </c>
    </row>
    <row r="110" spans="1:15" x14ac:dyDescent="0.25">
      <c r="B110" s="22"/>
    </row>
    <row r="111" spans="1:15" x14ac:dyDescent="0.25">
      <c r="B111" s="22"/>
    </row>
    <row r="112" spans="1:15" x14ac:dyDescent="0.25">
      <c r="B112" s="22"/>
    </row>
    <row r="113" spans="2:2" x14ac:dyDescent="0.25">
      <c r="B113" s="22"/>
    </row>
    <row r="114" spans="2:2" x14ac:dyDescent="0.25">
      <c r="B114" s="22"/>
    </row>
    <row r="115" spans="2:2" x14ac:dyDescent="0.25">
      <c r="B115" s="22"/>
    </row>
  </sheetData>
  <sortState ref="B7:O20">
    <sortCondition ref="B6"/>
  </sortState>
  <mergeCells count="5">
    <mergeCell ref="A1:D1"/>
    <mergeCell ref="A2:B3"/>
    <mergeCell ref="A4:A5"/>
    <mergeCell ref="B4:I4"/>
    <mergeCell ref="K4:O4"/>
  </mergeCells>
  <pageMargins left="0.7" right="0.7" top="0.75" bottom="0.75" header="0.3" footer="0.3"/>
  <pageSetup paperSize="5" scale="10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C1" sqref="C1"/>
    </sheetView>
  </sheetViews>
  <sheetFormatPr defaultRowHeight="15" x14ac:dyDescent="0.25"/>
  <sheetData>
    <row r="1" spans="1:3" x14ac:dyDescent="0.25">
      <c r="A1" t="s">
        <v>230</v>
      </c>
      <c r="B1" t="s">
        <v>11</v>
      </c>
      <c r="C1">
        <v>4</v>
      </c>
    </row>
    <row r="2" spans="1:3" x14ac:dyDescent="0.25">
      <c r="B2" t="s">
        <v>12</v>
      </c>
      <c r="C2">
        <v>7</v>
      </c>
    </row>
    <row r="3" spans="1:3" x14ac:dyDescent="0.25">
      <c r="A3" t="s">
        <v>231</v>
      </c>
      <c r="B3" t="s">
        <v>11</v>
      </c>
      <c r="C3">
        <v>9</v>
      </c>
    </row>
    <row r="4" spans="1:3" x14ac:dyDescent="0.25">
      <c r="B4" t="s">
        <v>12</v>
      </c>
      <c r="C4">
        <v>6</v>
      </c>
    </row>
    <row r="5" spans="1:3" x14ac:dyDescent="0.25">
      <c r="A5" t="s">
        <v>232</v>
      </c>
      <c r="B5" t="s">
        <v>11</v>
      </c>
      <c r="C5">
        <v>6</v>
      </c>
    </row>
    <row r="6" spans="1:3" x14ac:dyDescent="0.25">
      <c r="B6" t="s">
        <v>233</v>
      </c>
      <c r="C6">
        <v>8</v>
      </c>
    </row>
    <row r="7" spans="1:3" x14ac:dyDescent="0.25">
      <c r="A7" t="s">
        <v>234</v>
      </c>
      <c r="B7" t="s">
        <v>11</v>
      </c>
      <c r="C7">
        <v>7</v>
      </c>
    </row>
    <row r="8" spans="1:3" x14ac:dyDescent="0.25">
      <c r="B8" t="s">
        <v>233</v>
      </c>
      <c r="C8">
        <v>10</v>
      </c>
    </row>
    <row r="9" spans="1:3" x14ac:dyDescent="0.25">
      <c r="A9" t="s">
        <v>236</v>
      </c>
      <c r="B9" t="s">
        <v>11</v>
      </c>
      <c r="C9">
        <v>6</v>
      </c>
    </row>
    <row r="10" spans="1:3" x14ac:dyDescent="0.25">
      <c r="B10" t="s">
        <v>233</v>
      </c>
      <c r="C10">
        <v>9</v>
      </c>
    </row>
    <row r="11" spans="1:3" x14ac:dyDescent="0.25">
      <c r="A11" t="s">
        <v>235</v>
      </c>
      <c r="B11" t="s">
        <v>11</v>
      </c>
      <c r="C11">
        <v>8</v>
      </c>
    </row>
    <row r="12" spans="1:3" x14ac:dyDescent="0.25">
      <c r="B12" t="s">
        <v>233</v>
      </c>
      <c r="C12">
        <v>8</v>
      </c>
    </row>
    <row r="13" spans="1:3" x14ac:dyDescent="0.25">
      <c r="C13">
        <f>SUM(C1:C12)</f>
        <v>88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2025-2026 New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2026-07-16T02:19:21Z</dcterms:modified>
</cp:coreProperties>
</file>